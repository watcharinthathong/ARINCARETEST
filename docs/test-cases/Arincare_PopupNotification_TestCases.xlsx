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ภาพรวม" sheetId="1" state="visible" r:id="rId1"/>
    <sheet name="Test Plan" sheetId="2" state="visible" r:id="rId2"/>
    <sheet name="Bug Report" sheetId="3" state="visible" r:id="rId3"/>
    <sheet name="Test Cases" sheetId="4" state="visible" r:id="rId4"/>
    <sheet name="Test Data" sheetId="5" state="visible" r:id="rId5"/>
    <sheet name="Playwright Test Cases" sheetId="6" state="visible" r:id="rId6"/>
    <sheet name="RT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ahoma"/>
      <b val="1"/>
      <color rgb="002E5496"/>
      <sz val="14"/>
    </font>
    <font>
      <name val="Tahoma"/>
      <b val="1"/>
      <sz val="9"/>
    </font>
    <font>
      <name val="Tahoma"/>
      <b val="1"/>
      <color rgb="FFFFFFFF"/>
      <sz val="10"/>
    </font>
    <font>
      <name val="Tahoma"/>
      <b val="1"/>
      <color rgb="002E5496"/>
      <sz val="11"/>
    </font>
    <font>
      <name val="Tahoma"/>
      <color rgb="00222222"/>
      <sz val="9"/>
    </font>
    <font>
      <name val="Tahoma"/>
      <b val="1"/>
      <color rgb="00C00000"/>
      <sz val="9"/>
    </font>
    <font>
      <name val="Tahoma"/>
      <i val="1"/>
      <color rgb="00808080"/>
      <sz val="9"/>
    </font>
    <font>
      <name val="Tahoma"/>
      <i val="1"/>
      <color rgb="00555555"/>
      <sz val="10"/>
    </font>
    <font>
      <name val="Tahoma"/>
      <b val="1"/>
      <color rgb="002F7A4F"/>
      <sz val="9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9C6"/>
      </patternFill>
    </fill>
    <fill>
      <patternFill patternType="solid">
        <fgColor rgb="00FFF6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7" fillId="0" borderId="0" pivotButton="0" quotePrefix="0" xfId="0"/>
    <xf numFmtId="0" fontId="5" fillId="5" borderId="0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left" vertical="top" wrapText="1"/>
    </xf>
    <xf numFmtId="0" fontId="8" fillId="0" borderId="0" pivotButton="0" quotePrefix="0" xfId="0"/>
    <xf numFmtId="0" fontId="5" fillId="7" borderId="0" applyAlignment="1" pivotButton="0" quotePrefix="0" xfId="0">
      <alignment horizontal="left" vertical="top" wrapText="1"/>
    </xf>
    <xf numFmtId="0" fontId="5" fillId="8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5" customWidth="1" min="3" max="3"/>
    <col width="60" customWidth="1" min="4" max="4"/>
  </cols>
  <sheetData>
    <row r="1">
      <c r="A1" s="1" t="inlineStr">
        <is>
          <t>แผนการทดสอบ Arincare Popup Notification</t>
        </is>
      </c>
    </row>
    <row r="2">
      <c r="A2" s="2" t="inlineStr">
        <is>
          <t>วันที่จัดทำ</t>
        </is>
      </c>
      <c r="B2" t="inlineStr">
        <is>
          <t>27/08/2026</t>
        </is>
      </c>
    </row>
    <row r="4">
      <c r="A4" s="3" t="inlineStr">
        <is>
          <t>สถานะ</t>
        </is>
      </c>
      <c r="B4" s="3" t="inlineStr">
        <is>
          <t>จำนวน</t>
        </is>
      </c>
      <c r="C4" s="4" t="inlineStr">
        <is>
          <t>ระบบ: Popup Notification (Web-Admin -&gt; POS-v2 / Web-App ERP)</t>
        </is>
      </c>
      <c r="D4" s="3" t="inlineStr">
        <is>
          <t>หมายเหตุสำคัญ</t>
        </is>
      </c>
    </row>
    <row r="5">
      <c r="A5" s="5" t="inlineStr">
        <is>
          <t>✅ Pass</t>
        </is>
      </c>
      <c r="B5" s="5">
        <f>COUNTIF('Test Cases'!L:L,"✅ Pass")</f>
        <v/>
      </c>
      <c r="C5" s="5" t="inlineStr">
        <is>
          <t>รันจริงบน Staging แล้วผ่านตามคาด</t>
        </is>
      </c>
    </row>
    <row r="6">
      <c r="A6" s="5" t="inlineStr">
        <is>
          <t>❌ Fail</t>
        </is>
      </c>
      <c r="B6" s="5">
        <f>COUNTIF('Test Cases'!L:L,"❌ Fail")</f>
        <v/>
      </c>
      <c r="C6" s="5" t="inlineStr">
        <is>
          <t>รันจริงแล้วพบบั๊ก — ดู BUG-001~003 ในคอลัมน์หมายเหตุ</t>
        </is>
      </c>
      <c r="D6" s="6" t="inlineStr">
        <is>
          <t>✅ ยืนยัน Environment แล้ว (2026-08-27): Web-Admin=https://admin-stg.arincare.com/popup-notifications, Web-App=https://app-stg.arincare.com (env BASE_URL), POS-v2=https://pos-stg.arincare.com (env POS_BASE_URL). Login เข้าจริงสำเร็จทั้ง 3 ระบบ พบแคมเปญจริงอยู่แล้ว 1 รายการ ("สายรุ้งทดสอบ", scope=Global, platform=POS-v2+Web-App, frequency=Once) ยืนยัน Business Rule ข้อ 3.1 (per-platform frequency) ทำงานถูกต้องจริงจากข้อมูล Interactions Log จริง
Selector จริงของ Modal: .popup-notification-modal-custom (ดูรายละเอียดใน qa-context.md)
จุดที่ยังต้องยืนยันกับ BA/PM ก่อน Execute เต็มรูปแบบ ดูคอลัมน์สถานะ ⏸️ Blocked ใน Test Cases sheet (เพิ่มเติม: พบ action_taken="dismiss_backdrop" จากของจริงที่สเปกไม่ได้ระบุไว้ — ดู TC-TRACK-006)
🔄 อัปเดตหลัง Retest 2026-08-31: พบ Regression ใหม่ (BUG-005, High) — ปุ่ม CTA กดไม่ติดเมื่อมี Modal จากระบบ Promotion Popup เดิมซ้อนทับพร้อมกัน นอกจากนี้พบว่ามีผู้ใช้อื่นที่ Arincare ใช้ Staging environment เดียวกันคู่ขนานอยู่จริง (สร้างแคมเปญ NOTI เอง) — ต้องระวังไม่ไปแก้/ลบแคมเปญที่ไม่ได้สร้างเอง</t>
        </is>
      </c>
    </row>
    <row r="7">
      <c r="A7" s="5" t="inlineStr">
        <is>
          <t>⏸️ Blocked</t>
        </is>
      </c>
      <c r="B7" s="5">
        <f>COUNTIF('Test Cases'!L:L,"⏸️ Blocked")</f>
        <v/>
      </c>
      <c r="C7" s="5" t="inlineStr">
        <is>
          <t>รอข้อมูล/บัญชีทดสอบเพิ่ม หรือรอ BA ยืนยัน Oracle</t>
        </is>
      </c>
    </row>
    <row r="8">
      <c r="A8" s="5" t="inlineStr">
        <is>
          <t>⬜ Not Run</t>
        </is>
      </c>
      <c r="B8" s="5">
        <f>COUNTIF('Test Cases'!L:L,"⬜ Not Run")</f>
        <v/>
      </c>
      <c r="C8" s="5" t="inlineStr">
        <is>
          <t>ยังไม่ได้ execute (ออกแบบไว้เท่านั้น)</t>
        </is>
      </c>
    </row>
    <row r="9">
      <c r="A9" s="3" t="inlineStr">
        <is>
          <t>หมวดหมู่ (Module)</t>
        </is>
      </c>
      <c r="B9" s="3" t="inlineStr">
        <is>
          <t>จำนวนเคส</t>
        </is>
      </c>
      <c r="C9" s="5" t="inlineStr"/>
    </row>
    <row r="10">
      <c r="A10" s="5" t="inlineStr">
        <is>
          <t>POPUP-DISPLAY</t>
        </is>
      </c>
      <c r="B10" s="5">
        <f>COUNTIF('Test Cases'!B:B,"POPUP-DISPLAY")</f>
        <v/>
      </c>
    </row>
    <row r="11">
      <c r="A11" s="5" t="inlineStr">
        <is>
          <t>POPUP-DATE</t>
        </is>
      </c>
      <c r="B11" s="5">
        <f>COUNTIF('Test Cases'!B:B,"POPUP-DATE")</f>
        <v/>
      </c>
    </row>
    <row r="12">
      <c r="A12" s="5" t="inlineStr">
        <is>
          <t>POPUP-PLAT</t>
        </is>
      </c>
      <c r="B12" s="5">
        <f>COUNTIF('Test Cases'!B:B,"POPUP-PLAT")</f>
        <v/>
      </c>
    </row>
    <row r="13">
      <c r="A13" s="5" t="inlineStr">
        <is>
          <t>POPUP-SCOPE</t>
        </is>
      </c>
      <c r="B13" s="5">
        <f>COUNTIF('Test Cases'!B:B,"POPUP-SCOPE")</f>
        <v/>
      </c>
    </row>
    <row r="14">
      <c r="A14" s="5" t="inlineStr">
        <is>
          <t>POPUP-FREQ</t>
        </is>
      </c>
      <c r="B14" s="5">
        <f>COUNTIF('Test Cases'!B:B,"POPUP-FREQ")</f>
        <v/>
      </c>
    </row>
    <row r="15">
      <c r="A15" s="5" t="inlineStr">
        <is>
          <t>POPUP-BTN</t>
        </is>
      </c>
      <c r="B15" s="5">
        <f>COUNTIF('Test Cases'!B:B,"POPUP-BTN")</f>
        <v/>
      </c>
    </row>
    <row r="16">
      <c r="A16" s="5" t="inlineStr">
        <is>
          <t>POPUP-TRACKING</t>
        </is>
      </c>
      <c r="B16" s="5">
        <f>COUNTIF('Test Cases'!B:B,"POPUP-TRACKING")</f>
        <v/>
      </c>
    </row>
    <row r="17">
      <c r="A17" s="5" t="inlineStr">
        <is>
          <t>POPUP-ADMIN</t>
        </is>
      </c>
      <c r="B17" s="5">
        <f>COUNTIF('Test Cases'!B:B,"POPUP-ADMIN")</f>
        <v/>
      </c>
    </row>
    <row r="18">
      <c r="A18" s="5" t="inlineStr">
        <is>
          <t>POPUP-RPT</t>
        </is>
      </c>
      <c r="B18" s="5">
        <f>COUNTIF('Test Cases'!B:B,"POPUP-RPT")</f>
        <v/>
      </c>
    </row>
    <row r="19">
      <c r="A19" s="5" t="inlineStr">
        <is>
          <t>POPUP-CLIENT</t>
        </is>
      </c>
      <c r="B19" s="5">
        <f>COUNTIF('Test Cases'!B:B,"POPUP-CLIENT")</f>
        <v/>
      </c>
    </row>
    <row r="20">
      <c r="A20" s="5" t="inlineStr">
        <is>
          <t>POPUP-SEC</t>
        </is>
      </c>
      <c r="B20" s="5">
        <f>COUNTIF('Test Cases'!B:B,"POPUP-SEC")</f>
        <v/>
      </c>
    </row>
    <row r="21">
      <c r="A21" s="5" t="inlineStr">
        <is>
          <t>POPUP-E2E</t>
        </is>
      </c>
      <c r="B21" s="5">
        <f>COUNTIF('Test Cases'!B:B,"POPUP-E2E")</f>
        <v/>
      </c>
    </row>
    <row r="22">
      <c r="A22" s="5" t="inlineStr">
        <is>
          <t>POPUP-CONC</t>
        </is>
      </c>
      <c r="B22" s="5">
        <f>COUNTIF('Test Cases'!B:B,"POPUP-CONC")</f>
        <v/>
      </c>
    </row>
    <row r="23">
      <c r="A23" s="5" t="inlineStr">
        <is>
          <t>POPUP-NFR</t>
        </is>
      </c>
      <c r="B23" s="5">
        <f>COUNTIF('Test Cases'!B:B,"POPUP-NFR")</f>
        <v/>
      </c>
    </row>
  </sheetData>
  <mergeCells count="2">
    <mergeCell ref="D4:D5"/>
    <mergeCell ref="D6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แผนการทดสอบ (Test Plan) — IEEE 829</t>
        </is>
      </c>
    </row>
    <row r="3">
      <c r="A3" s="4" t="inlineStr">
        <is>
          <t>1. วัตถุประสงค์ (Objective)</t>
        </is>
      </c>
    </row>
    <row r="4" ht="30" customHeight="1">
      <c r="A4" s="6" t="inlineStr">
        <is>
          <t>ตรวจสอบว่าระบบ Popup Notification ทำงานถูกต้องครบถ้วนตามคู่มือ QA และ Business Logic ที่กำหนด ครอบคลุมการสร้าง/จัดการแคมเปญบน Web-Admin, เงื่อนไขการแสดงผล (Status/Date/Platform/Scope/Frequency), พฤติกรรมปุ่ม Action, การบันทึกสถิติ (Tracking), และความปลอดภัยของ HTML/URL ที่ Admin กำหนดเอง</t>
        </is>
      </c>
    </row>
    <row r="6">
      <c r="A6" s="4" t="inlineStr">
        <is>
          <t>2. ขอบเขต (Scope)</t>
        </is>
      </c>
    </row>
    <row r="7" ht="30" customHeight="1">
      <c r="A7" s="6" t="inlineStr">
        <is>
          <t>In-scope: Web-Admin CRUD, Client Active API (POS-v2 / Web-App), Client Tracking API, Admin Interactions/Report API, Business rule ของ Frequency/Scope/Platform, ความปลอดภัยของปุ่ม redirect/api_call</t>
        </is>
      </c>
    </row>
    <row r="9" ht="30" customHeight="1">
      <c r="A9" s="6" t="inlineStr">
        <is>
          <t>Out-of-scope: การออกแบบ HTML Editor เชิงลึกของ Web-Admin (WYSIWYG internals), Performance/Load test ระดับ infrastructure (แยกไปที่ references/performance.md ถ้าต้องทำ)</t>
        </is>
      </c>
    </row>
    <row r="11">
      <c r="A11" s="4" t="inlineStr">
        <is>
          <t>3. Test Items</t>
        </is>
      </c>
    </row>
    <row r="12" ht="30" customHeight="1">
      <c r="A12" s="6" t="inlineStr">
        <is>
          <t>Web-Admin (สร้าง/แก้ไข/ลบแคมเปญ, Toggle Active-Inactive, Live Preview, Report), POS-v2 client trigger (on Checkin), Web-App ERP client trigger (on Login/เลือก Company&amp;Branch), web-api-v2 (4 endpoints ตามสเปก)</t>
        </is>
      </c>
    </row>
    <row r="14">
      <c r="A14" s="4" t="inlineStr">
        <is>
          <t>4. เทคนิคการออกแบบเคสที่ใช้ (Test Techniques)</t>
        </is>
      </c>
    </row>
    <row r="15" ht="105" customHeight="1">
      <c r="A15" s="6" t="inlineStr">
        <is>
          <t>- MC/DC (N+1) สำหรับกฎ 'แสดง Popup เมื่อ Status=active AND ในช่วงวันที่ AND Platform ตรง AND Scope ตรง AND ยังไม่ถึง Frequency limit' (5 เงื่อนไข AND ต่อกัน)
- Boundary Value Analysis (3-value) สำหรับ start_date/end_date และรอบ reset ของ daily/weekly/monthly
- Equivalence Partitioning สำหรับ Scope (Global / Company / Company+Branch) และ Platform
- State/Frequency-based testing แยกตาม Platform ต่อ Platform (per-platform isolation ตามข้อ 3.1)
- Security/IDOR testing ผ่าน API ตรง (ไม่ใช่แค่ผ่าน UI) ตามกฎ PART 10 ของทีม QA — โดยเฉพาะ redirect URL (javascript: scheme), IDOR บน Tracking API, RBAC บน Admin API
- Error Guessing / Exploratory สำหรับ debounce, concurrency, HTML content ที่ผิดปกติ</t>
        </is>
      </c>
    </row>
    <row r="17">
      <c r="A17" s="4" t="inlineStr">
        <is>
          <t>5. Environment</t>
        </is>
      </c>
    </row>
    <row r="18" ht="30" customHeight="1">
      <c r="A18" s="6" t="inlineStr">
        <is>
          <t>✅ ยืนยันแล้ว (2026-08-27): Web-Admin=https://admin-stg.arincare.com/popup-notifications, Web-App=https://app-stg.arincare.com, POS-v2=https://pos-stg.arincare.com — Login เข้าใช้งานได้จริงทั้ง 3 ระบบ ผ่านบัญชีทดสอบใน .env (ADMIN_EMAIL/ADMIN_PASSWORD, TEST_USERNAME/TEST_PASSWORD, POS_EMPLOYEE_ID/POS_EMPLOYEE_PASS) ยังขาดบัญชี Staff คนละบริษัท/สาขาเพิ่มเติมสำหรับทดสอบ Scope Targeting (TC-SCOPE-004/006/007)</t>
        </is>
      </c>
    </row>
    <row r="20">
      <c r="A20" s="4" t="inlineStr">
        <is>
          <t>6. Entry Criteria</t>
        </is>
      </c>
    </row>
    <row r="21" ht="60" customHeight="1">
      <c r="A21" s="6" t="inlineStr">
        <is>
          <t>- ยืนยัน URL/Environment ของ Web-Admin, POS-v2, Web-App แล้ว
- มีบัญชีทดสอบครบ role (Admin, Staff อย่างน้อย 2 บริษัท x 2 สาขา)
- Backend deploy เวอร์ชันที่มี 4 API endpoints ตามสเปกแล้ว</t>
        </is>
      </c>
    </row>
    <row r="23">
      <c r="A23" s="4" t="inlineStr">
        <is>
          <t>7. Exit Criteria</t>
        </is>
      </c>
    </row>
    <row r="24" ht="60" customHeight="1">
      <c r="A24" s="6" t="inlineStr">
        <is>
          <t>- Requirement Coverage ของ Test Case ต่อ FR-POPUP-01~09 = 100%
- ไม่มี Critical/High bug ที่ยัง Open
- เคสที่ Blocked ทุกเคสได้รับคำตอบจาก BA/PM เป็นลายลักษณ์อักษรแล้ว</t>
        </is>
      </c>
    </row>
    <row r="26">
      <c r="A26" s="4" t="inlineStr">
        <is>
          <t>8. ความเสี่ยง (Risks)</t>
        </is>
      </c>
    </row>
    <row r="27" ht="60" customHeight="1">
      <c r="A27" s="6" t="inlineStr">
        <is>
          <t>- HTML ที่ Admin ใส่เองเป็น dynamic content บนหน้าร้านจริง หากไม่มีการ sanitize จะเป็นช่องทาง Stored XSS ที่กระทบพนักงานทุกคนที่เห็น Popup (ดู TC-SEC-003)
- พฤติกรรมเมื่อมีหลาย Popup Active พร้อมกันไม่ถูกระบุในสเปก อาจทำให้ Modal ซ้อนกันบนหน้าขาย กระทบ UX ของพนักงานหน้าร้านโดยตรง (ดู TC-CLIENT-002)
- Debounce 10 นาทีทำที่ Client เท่านั้น หากไม่มีการกันซ้ำที่ Backend อาจถูกยิง API ปลอมนับ View เท็จได้ (ดู TC-SEC-004)</t>
        </is>
      </c>
    </row>
  </sheetData>
  <mergeCells count="9">
    <mergeCell ref="A9:G9"/>
    <mergeCell ref="A27:G27"/>
    <mergeCell ref="A18:G18"/>
    <mergeCell ref="A21:G21"/>
    <mergeCell ref="A12:G12"/>
    <mergeCell ref="A4:G4"/>
    <mergeCell ref="A24:G24"/>
    <mergeCell ref="A15:G15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0" customWidth="1" min="4" max="4"/>
    <col width="20" customWidth="1" min="5" max="5"/>
    <col width="34" customWidth="1" min="6" max="6"/>
    <col width="26" customWidth="1" min="7" max="7"/>
    <col width="48" customWidth="1" min="8" max="8"/>
    <col width="34" customWidth="1" min="9" max="9"/>
    <col width="40" customWidth="1" min="10" max="10"/>
    <col width="40" customWidth="1" min="11" max="11"/>
  </cols>
  <sheetData>
    <row r="1">
      <c r="A1" s="1" t="inlineStr">
        <is>
          <t>Bug Report — Popup Notification (Staging, 2026-08-27)</t>
        </is>
      </c>
    </row>
    <row r="2">
      <c r="A2" s="14" t="inlineStr">
        <is>
          <t>รวม 8 บั๊ก (Critical 2 / High 3 / Medium 2 / Fixed 1) — BUG-007 แก้แล้ว ✅, BUG-008 ปรับจาก Critical เป็น Medium หลังพบว่าเป็น timing/caching ไม่ใช่ 'ใช้งานไม่ได้เลย' (2026-09-02)</t>
        </is>
      </c>
    </row>
    <row r="4">
      <c r="A4" s="7" t="inlineStr">
        <is>
          <t>Bug ID</t>
        </is>
      </c>
      <c r="B4" s="7" t="inlineStr">
        <is>
          <t>Severity</t>
        </is>
      </c>
      <c r="C4" s="7" t="inlineStr">
        <is>
          <t>Priority</t>
        </is>
      </c>
      <c r="D4" s="7" t="inlineStr">
        <is>
          <t>Status</t>
        </is>
      </c>
      <c r="E4" s="7" t="inlineStr">
        <is>
          <t>TC อ้างอิง</t>
        </is>
      </c>
      <c r="F4" s="7" t="inlineStr">
        <is>
          <t>หัวข้อ</t>
        </is>
      </c>
      <c r="G4" s="7" t="inlineStr">
        <is>
          <t>Environment</t>
        </is>
      </c>
      <c r="H4" s="7" t="inlineStr">
        <is>
          <t>ขั้นตอนการทำซ้ำ (Steps to Reproduce)</t>
        </is>
      </c>
      <c r="I4" s="7" t="inlineStr">
        <is>
          <t>ผลที่คาดหวัง (Expected)</t>
        </is>
      </c>
      <c r="J4" s="7" t="inlineStr">
        <is>
          <t>ผลจริง (Actual)</t>
        </is>
      </c>
      <c r="K4" s="7" t="inlineStr">
        <is>
          <t>ผลกระทบ (Impact)</t>
        </is>
      </c>
    </row>
    <row r="5" ht="95" customHeight="1">
      <c r="A5" s="6" t="inlineStr">
        <is>
          <t>BUG-001</t>
        </is>
      </c>
      <c r="B5" s="13" t="inlineStr">
        <is>
          <t>Critical</t>
        </is>
      </c>
      <c r="C5" s="6" t="inlineStr">
        <is>
          <t>P1</t>
        </is>
      </c>
      <c r="D5" s="6" t="inlineStr">
        <is>
          <t>🔴 Open</t>
        </is>
      </c>
      <c r="E5" s="6" t="inlineStr">
        <is>
          <t>TC-BTN-007</t>
        </is>
      </c>
      <c r="F5" s="6" t="inlineStr">
        <is>
          <t>ปุ่มปิด × มาตรฐาน (native close icon) กดไม่ได้เลย</t>
        </is>
      </c>
      <c r="G5" s="6" t="inlineStr">
        <is>
          <t>Staging POS-v2 (pos-stg.arincare.com), Chromium, popup-notification-modal-custom</t>
        </is>
      </c>
      <c r="H5" s="6" t="inlineStr">
        <is>
          <t>1. Login เข้า POS-v2 ขณะมีแคมเปญที่เข้าเงื่อนไขแสดงผลอยู่
2. คลิกไอคอน × ที่มุมขวาบนของ modal-header (ไม่ใช่ปุ่ม CTA ที่ Admin ตั้งเอง)</t>
        </is>
      </c>
      <c r="I5" s="6" t="inlineStr">
        <is>
          <t>Modal ปิดทันที และมี interaction ถูกบันทึก</t>
        </is>
      </c>
      <c r="J5" s="6" t="inlineStr">
        <is>
          <t>คลิกแล้ว timeout ทุกครั้ง (ทดสอบ 5 selector ต่างกัน ทุกแบบเจอ element แต่คลิกไม่ติดสักครั้ง) Modal ไม่ปิด และ Interactions Log มีแค่ 'viewed' ไม่มี dismiss ใดๆ เกิดขึ้นเลย</t>
        </is>
      </c>
      <c r="K5" s="6" t="inlineStr">
        <is>
          <t>พนักงานที่คาดหวังปิดด้วยปุ่มมาตรฐานที่คุ้นเคย (ตามความเคยชิน UI ทั่วไป) จะปิด Popup ไม่ได้ ต้องไปเจอเองว่าใช้ปุ่ม CTA หรือคลิกพื้นหลังแทนได้ — เสี่ยงสร้างความสับสนกลางการขายหน้าร้าน</t>
        </is>
      </c>
    </row>
    <row r="6" ht="95" customHeight="1">
      <c r="A6" s="6" t="inlineStr">
        <is>
          <t>BUG-002</t>
        </is>
      </c>
      <c r="B6" s="13" t="inlineStr">
        <is>
          <t>Critical</t>
        </is>
      </c>
      <c r="C6" s="6" t="inlineStr">
        <is>
          <t>P1</t>
        </is>
      </c>
      <c r="D6" s="6" t="inlineStr">
        <is>
          <t>🔴 Open</t>
        </is>
      </c>
      <c r="E6" s="6" t="inlineStr">
        <is>
          <t>TC-BTN-005 / TC-BTN-005B</t>
        </is>
      </c>
      <c r="F6" s="6" t="inlineStr">
        <is>
          <t>ปุ่ม "เรียก API ภายนอก" (api_call) ไม่ยิง Request ใดๆ ออกไปจริง</t>
        </is>
      </c>
      <c r="G6" s="6" t="inlineStr">
        <is>
          <t>Staging POS-v2, ตรวจด้วย page.on('request') 2 รอบอิสระ</t>
        </is>
      </c>
      <c r="H6" s="6" t="inlineStr">
        <is>
          <t>1. สร้างแคมเปญใน Web-Admin พร้อมปุ่ม CTA ตั้งค่า Action = 'เรียก API ภายนอก' และกรอก URL ปลายทาง
2. เปิดดูแคมเปญบน POS-v2 แล้วกดปุ่มนั้น</t>
        </is>
      </c>
      <c r="I6" s="6" t="inlineStr">
        <is>
          <t>Client ต้องยิง HTTP Request ไปยัง URL ที่ Admin ตั้งค่าไว้</t>
        </is>
      </c>
      <c r="J6" s="6" t="inlineStr">
        <is>
          <t>Interaction ถูกบันทึกถูกต้องเป็น clicked_button_{id} และ Modal ปิดตามปกติ แต่ไม่พบ Network Request ใดๆ ยิงออกไปยัง URL ที่ตั้งไว้เลย ยืนยันซ้ำ 2 รอบ ผลตรงกันทั้ง 2 ครั้ง</t>
        </is>
      </c>
      <c r="K6" s="6" t="inlineStr">
        <is>
          <t>แคมเปญใดก็ตามที่พึ่งพา Action ประเภทนี้จะไม่ทำงานจริงตามที่ Admin ตั้งค่าไว้เลย (ควรตรวจเพิ่มว่า Backend ยิงแทนหรือไม่ — ถ้าไม่ใช่ ฟีเจอร์นี้ใช้งานไม่ได้ทั้งหมด)</t>
        </is>
      </c>
    </row>
    <row r="7" ht="95" customHeight="1">
      <c r="A7" s="6" t="inlineStr">
        <is>
          <t>BUG-003</t>
        </is>
      </c>
      <c r="B7" s="15" t="inlineStr">
        <is>
          <t>High</t>
        </is>
      </c>
      <c r="C7" s="6" t="inlineStr">
        <is>
          <t>P2</t>
        </is>
      </c>
      <c r="D7" s="6" t="inlineStr">
        <is>
          <t>🟠 Open</t>
        </is>
      </c>
      <c r="E7" s="6" t="inlineStr">
        <is>
          <t>TC-BTN-004</t>
        </is>
      </c>
      <c r="F7" s="6" t="inlineStr">
        <is>
          <t>Redirect URL กรองเฉพาะ javascript: แต่ไม่กรอง data: scheme</t>
        </is>
      </c>
      <c r="G7" s="6" t="inlineStr">
        <is>
          <t>Web-Admin (admin-stg.arincare.com), ฟอร์มสร้างแคมเปญ</t>
        </is>
      </c>
      <c r="H7" s="6" t="inlineStr">
        <is>
          <t>1. สร้างแคมเปญพร้อมปุ่ม CTA ประเภท Redirect
2. ตั้ง URL = javascript:alert(document.cookie) แล้วบันทึก → ระบบบล็อกถูกต้อง (ไม่ยอมสร้าง)
3. ทำซ้ำด้วย URL = data:text/html,&lt;script&gt;alert(1)&lt;/script&gt;</t>
        </is>
      </c>
      <c r="I7" s="6" t="inlineStr">
        <is>
          <t>ต้องถูกบล็อกเหมือน javascript: เพราะสเปกระบุชัดว่า 'ห้ามรันจาวาสคริปต์ผ่าน URL ของปุ่ม'</t>
        </is>
      </c>
      <c r="J7" s="6" t="inlineStr">
        <is>
          <t>บันทึกสำเร็จ! ระบบกรองแค่ scheme เดียว (javascript:) ไม่ครอบคลุมทั้งกลุ่มความเสี่ยงเดียวกัน</t>
        </is>
      </c>
      <c r="K7" s="6" t="inlineStr">
        <is>
          <t>Browser สมัยใหม่บล็อกการ navigate ไปยัง data: URL ระดับ top-level อยู่แล้วเป็นเกราะชั้นที่ 2 ความเสี่ยงจริงจึงลดลง แต่ช่องโหว่ฝั่ง Admin validation ยังมีอยู่จริง ควรกรองให้ครบตั้งแต่ชั้นแรก</t>
        </is>
      </c>
    </row>
    <row r="8" ht="95" customHeight="1">
      <c r="A8" s="6" t="inlineStr">
        <is>
          <t>BUG-004</t>
        </is>
      </c>
      <c r="B8" s="16" t="inlineStr">
        <is>
          <t>Medium</t>
        </is>
      </c>
      <c r="C8" s="6" t="inlineStr">
        <is>
          <t>P3</t>
        </is>
      </c>
      <c r="D8" s="6" t="inlineStr">
        <is>
          <t>✅ Fixed</t>
        </is>
      </c>
      <c r="E8" s="6" t="inlineStr">
        <is>
          <t>TC-RPT-002</t>
        </is>
      </c>
      <c r="F8" s="6" t="inlineStr">
        <is>
          <t>เข้า Popup ID ที่ไม่มีอยู่จริง ได้หน้า Error 500 ดิบ แทนที่จะเป็น 404</t>
        </is>
      </c>
      <c r="G8" s="6" t="inlineStr">
        <is>
          <t>Web-Admin, พิมพ์ URL ตรง</t>
        </is>
      </c>
      <c r="H8" s="6" t="inlineStr">
        <is>
          <t>1. Login เป็น Admin
2. เข้า URL /popup-notifications/999999 (ID ที่ไม่มีอยู่จริงในระบบ)</t>
        </is>
      </c>
      <c r="I8" s="6" t="inlineStr">
        <is>
          <t>หน้า 404 หรือข้อความ 'ไม่พบข้อมูล' ที่เหมาะสม</t>
        </is>
      </c>
      <c r="J8" s="6" t="inlineStr">
        <is>
          <t>ยืนยันแก้แล้ว 2026-09-02: ไม่มีหน้า 500 ดิบ/stack trace อีกต่อไป (HTTP 200) — แต่ยังไม่ใช่ friendly 404 เต็มรูปแบบ ตอนนี้ขึ้นหน้าเปล่า (breadcrumb + ปุ่มกลับ ไม่มีข้อความ "ไม่พบข้อมูล") verified ผ่าน TC-RPT-002 (Pass)</t>
        </is>
      </c>
      <c r="K8" s="6" t="inlineStr">
        <is>
          <t>สร้างความสับสนให้ Admin ที่เผลอกดลิงก์เก่า/พิมพ์ ID ผิด ดูเหมือนระบบพัง ควรตรวจเพิ่มด้วยว่ามีข้อมูลอ่อนไหว (เช่น path ไฟล์ในเซิร์ฟเวอร์) รั่วไหลออกมาในหน้า error นี้หรือไม่</t>
        </is>
      </c>
    </row>
    <row r="11" ht="95" customHeight="1">
      <c r="A11" s="6" t="inlineStr">
        <is>
          <t>BUG-005</t>
        </is>
      </c>
      <c r="B11" s="15" t="inlineStr">
        <is>
          <t>High</t>
        </is>
      </c>
      <c r="C11" s="6" t="inlineStr">
        <is>
          <t>P2</t>
        </is>
      </c>
      <c r="D11" s="6" t="inlineStr">
        <is>
          <t>🟠 Open</t>
        </is>
      </c>
      <c r="E11" s="6" t="inlineStr">
        <is>
          <t>TC-CONC-002B</t>
        </is>
      </c>
      <c r="F11" s="6" t="inlineStr">
        <is>
          <t>ปุ่ม CTA ของ Popup Notification กดไม่ติด เมื่อมี Modal จากระบบ Promotion Popup เดิมซ้อนทับพร้อมกัน</t>
        </is>
      </c>
      <c r="G11" s="6" t="inlineStr">
        <is>
          <t>Staging POS-v2, พบระหว่าง Retest 2026-08-31 (4 วันหลังทดสอบรอบแรก)</t>
        </is>
      </c>
      <c r="H11" s="6" t="inlineStr">
        <is>
          <t>1. Login POS-v2 ด้วยบัญชีที่เข้าเงื่อนไขทั้ง Popup Notification และ Promotion Popup ระบบเดิมพร้อมกัน
2. ทั้ง 2 Modal ปรากฏซ้อนกัน
3. คลิกปุ่ม CTA บน Modal ของ Popup Notification</t>
        </is>
      </c>
      <c r="I11" s="6" t="inlineStr">
        <is>
          <t>ปุ่มต้องกดได้ปกติไม่ว่าจะมี Modal อื่นซ้อนอยู่หรือไม่
🔄 ยืนยันซ้ำอีกครั้งจาก Regression suite 2026-09-02 — ยังคง Reproducible เหมือนเดิม ยังไม่ถูกแก้</t>
        </is>
      </c>
      <c r="J11" s="6" t="inlineStr">
        <is>
          <t>คลิกปุ่ม 'ปิด' ติดกัน 14 ครั้ง Modal ไม่ปิดเลย — Modal 'สิทธิประโยชน์สั่งซื้อ MedEx' (Promotion Popup ระบบเดิม ไม่ใช่ Popup Notification — ตรวจสอบแล้วไม่มีชื่อนี้ใน Popup Notification Admin List) ซ้อนทับแย่ง pointer-events ไป</t>
        </is>
      </c>
      <c r="K11" s="6" t="inlineStr">
        <is>
          <t>ยืนยันด้วย automated regression test ที่เคยผ่านปกติเมื่อ 4 วันก่อน แต่ล้มเหลวรอบนี้เพราะมีแคมเปญคู่แข่งจาก ระบบอื่นเข้ามาเกี่ยวข้องพอดี — ชี้ให้เห็นว่าเมื่อ 2 ระบบ Modal แสดงพร้อมกัน ระบบใดระบบหนึ่งจะใช้งานไม่ได้เลย กระทบพนักงานจริงหน้าร้านที่อาจกดปุ่มปิด Popup ไม่ได้ระหว่างการขาย</t>
        </is>
      </c>
    </row>
    <row r="12" ht="100" customHeight="1">
      <c r="A12" s="6" t="inlineStr">
        <is>
          <t>BUG-006</t>
        </is>
      </c>
      <c r="B12" s="15" t="inlineStr">
        <is>
          <t>High</t>
        </is>
      </c>
      <c r="C12" s="6" t="inlineStr">
        <is>
          <t>P2</t>
        </is>
      </c>
      <c r="D12" s="6" t="inlineStr">
        <is>
          <t>🟠 Open</t>
        </is>
      </c>
      <c r="E12" s="6" t="inlineStr">
        <is>
          <t>TC-DEFECT-002</t>
        </is>
      </c>
      <c r="F12" s="6" t="inlineStr">
        <is>
          <t>ขนาด Modal (2XL) ที่ตั้งค่าไว้ไม่ถูก apply บน Production — ทำให้ตำแหน่งปุ่มดูต่างจาก Preview</t>
        </is>
      </c>
      <c r="G12" s="6" t="inlineStr">
        <is>
          <t>Web-App (app-stg.arincare.com) เทียบกับ Admin Live Preview, พบระหว่างรีเทส Defect ที่ Dev รายงาน 2026-08-31</t>
        </is>
      </c>
      <c r="H12" s="6" t="inlineStr">
        <is>
          <t>1. Admin: แก้ไขแคมเปญที่ตั้งขนาด 2XL ไว้ → กด 'จำลองเปิด Modal จริง' → บันทึกภาพ
2. Login Web-App ให้ครบขั้นตอน (Login → เลือกบริษัท → เลือกสาขา 'เข้าทำงาน') จนเห็นแคมเปญเดียวกันแสดงผลจริง → บันทึกภาพ
3. เทียบตำแหน่ง/ขนาดของ Modal และปุ่ม CTA ระหว่าง 2 ภาพ</t>
        </is>
      </c>
      <c r="I12" s="6" t="inlineStr">
        <is>
          <t>Modal และตำแหน่งปุ่มต้องตรงกันตาม Configuration เดียวกัน (Dev รายงานว่าปุ่มไม่ตรงตำแหน่ง)</t>
        </is>
      </c>
      <c r="J12" s="6" t="inlineStr">
        <is>
          <t>ยืนยันจากภาพจริง: Live Preview render เต็มความกว้างจอตามที่ตั้งค่า 2XL แต่ Production บน Web-App render Modal แคบกว่ามากแบบกึ่งกลางจอ (ไม่ใช่ 2XL) ปุ่ม 'ปิด' อยู่กึ่งกลางกล่องตัวเองทั้งคู่ แต่คนละขนาดกล่อง จึงทำให้ตำแหน่งบนจอต่างกันอย่างชัดเจน</t>
        </is>
      </c>
      <c r="K12" s="6" t="inlineStr">
        <is>
          <t>ยืนยัน Defect ที่ Dev รายงาน แต่ Root Cause จริงคือ 'ค่าขนาด Modal ไม่ถูก apply บน Production' ไม่ใช่แค่ ตำแหน่งปุ่มเดี่ยวๆ — ถ้าแก้แค่ตำแหน่งปุ่มโดยไม่แก้เรื่องขนาด Modal ปัญหาจะไม่หายจริง ควรตรวจ POS-v2 ด้วยว่ามี ปัญหาเดียวกันหรือไม่</t>
        </is>
      </c>
    </row>
    <row r="13" ht="100" customHeight="1">
      <c r="A13" s="6" t="inlineStr">
        <is>
          <t>BUG-007</t>
        </is>
      </c>
      <c r="B13" s="12" t="inlineStr">
        <is>
          <t>Critical</t>
        </is>
      </c>
      <c r="C13" s="6" t="inlineStr">
        <is>
          <t>P1</t>
        </is>
      </c>
      <c r="D13" s="17" t="inlineStr">
        <is>
          <t>✅ Fixed (verified 2026-09-02)</t>
        </is>
      </c>
      <c r="E13" s="6" t="inlineStr">
        <is>
          <t>TC-PLAT-008/009/010</t>
        </is>
      </c>
      <c r="F13" s="6" t="inlineStr">
        <is>
          <t>สร้าง/แก้ไข Popup Notification ที่มี Platform=Med-Ex ไม่ได้เลย (Blocker ทั้งระบบ)</t>
        </is>
      </c>
      <c r="G13" s="6" t="inlineStr">
        <is>
          <t>Web-Admin (admin-stg.arincare.com), พบระหว่างทดสอบ Platform ใหม่ 'Med-Ex' 2026-08-31</t>
        </is>
      </c>
      <c r="H13" s="6" t="inlineStr">
        <is>
          <t>1. เปิดหน้าสร้าง/แก้ไขแคมเปญ
2. ติ๊กเลือก Platform 'Med-Ex (ระบบสั่งซื้อยา)' (เดี่ยวๆ หรือร่วมกับ Platform อื่นก็ได้)
3. กรอกข้อมูลครบแล้วกดบันทึก</t>
        </is>
      </c>
      <c r="I13" s="6" t="inlineStr">
        <is>
          <t>บันทึกสำเร็จเหมือน Platform อื่น (Web-App, POS-v2)</t>
        </is>
      </c>
      <c r="J13" s="6" t="inlineStr">
        <is>
          <t>การบันทึกล้มเหลวเงียบๆ ทุกครั้ง — POST/PUT ไป /api/admin/popup-notifications ตอบกลับ 302 redirect ไปที่ https://admin-stg.arincare.com/ แล้วโดน CORS Policy บล็อก (ไม่มี Access-Control-Allow-Origin) หน้าเว็บไม่มี error message ใดๆ ให้ Admin เห็น ยืนยันแล้วว่าเกิดทั้งตอน Create ใหม่ และ Edit แคมเปญเดิมเพื่อเพิ่ม Med-Ex เข้าไป</t>
        </is>
      </c>
      <c r="K13" s="6" t="inlineStr">
        <is>
          <t>บล็อกฟีเจอร์ Med-Ex platform ทั้งหมดตั้งแต่ต้นทาง — Admin ไม่สามารถสร้างแคมเปญสำหรับ Med-Ex ได้เลยแม้แต่ตัว เดียว ทั้งที่ฝั่ง Client (หน้า Marketplace) พร้อมรับ Popup แล้วจริง (เรียก API platform=med-ex ถูกต้อง) — นี่คือ blocker ตัวเดียวที่ทำให้ทดสอบ Med-Ex platform ต่อไม่ได้เลย ต้องแก้ก่อนเป็นอันดับแรก
✅ ยืนยันแก้แล้ว 2026-09-02: Create (POST 201) และ Edit (PUT 200) ทำงานถูกต้อง ไม่มี CORS error อีกต่อไป — แต่ระหว่างรีเทสพบบั๊กใหม่ต่อเนื่อง (BUG-008: Modal ไม่แสดงผลจริงบน Marketplace แม้สร้างสำเร็จแล้ว)</t>
        </is>
      </c>
    </row>
    <row r="14" ht="110" customHeight="1">
      <c r="A14" s="6" t="inlineStr">
        <is>
          <t>BUG-008</t>
        </is>
      </c>
      <c r="B14" s="10" t="inlineStr">
        <is>
          <t>Medium (revised from Critical)</t>
        </is>
      </c>
      <c r="C14" s="6" t="inlineStr">
        <is>
          <t>P1</t>
        </is>
      </c>
      <c r="D14" s="6" t="inlineStr">
        <is>
          <t>🟡 Needs Dev input — not a confirmed 'never works' bug</t>
        </is>
      </c>
      <c r="E14" s="6" t="inlineStr">
        <is>
          <t>TC-TRACK-007, TC-E2E-002</t>
        </is>
      </c>
      <c r="F14" s="6" t="inlineStr">
        <is>
          <t>Brand-new campaigns don't render for at least 90-100 seconds after creation — confirmed on both Med-Ex AND Web-App (older campaigns work fine)</t>
        </is>
      </c>
      <c r="G14" s="6" t="inlineStr">
        <is>
          <t>Med-Ex Marketplace (app-stg.arincare.com/companies/marketplace), พบระหว่างรีเทส BUG-007 2026-09-02</t>
        </is>
      </c>
      <c r="H14" s="6" t="inlineStr">
        <is>
          <t>1. สร้างแคมเปญ platform=Med-Ex สำเร็จ (ตอนนี้ทำได้แล้วหลัง BUG-007 ถูกแก้)
2. Login Web-App → เลือกบริษัท → ไปหน้า /companies/marketplace
3. ตรวจ Network log และ DOM</t>
        </is>
      </c>
      <c r="I14" s="6" t="inlineStr">
        <is>
          <t>Popup ต้องแสดงผลเป็น Modal บนจอจริง เหมือนที่ทำงานถูกต้องบน POS-v2/Web-App</t>
        </is>
      </c>
      <c r="J14" s="6" t="inlineStr">
        <is>
          <t>GET .../popup-notifications/active?platform=med-ex ตอบ 200 พร้อมข้อมูลแคมเปญครบถ้วนถูกต้อง (ยืนยันจาก response body) และมี POST .../interactions ถูกยิงออกไปจริง (นับเป็น viewed) **แต่ DOM ไม่มี .popup-notification-modal-custom หรือ element ใดๆ ที่ขึ้นต้นด้วย class popup-notification เลย** ไม่มี console error ใดๆ ให้เห็นเลยด้วย</t>
        </is>
      </c>
      <c r="K14" s="6" t="inlineStr">
        <is>
          <t>🔄 อัปเดต 2026-09-02: เดิมสรุปว่า Med-Ex 'ไม่แสดงผลเลย' (Critical, confirmed) — ผิดพลาด user ยืนยันด้วย screenshot จริงว่าเห็น Popup แสดงบนหน้านี้ได้ ตรวจสอบพบแคมเปญจริงชื่อ 'cc' (อายุ 2 วัน) มี Interactions Log ยืนยันว่าบัญชีทดสอบของเราเองเห็น+คลิกปิด Popup Med-Ex ของแคมเปญนี้จริง
ทดสอบซ้ำ 6 แบบกับแคมเปญที่สร้างใหม่ (คลิกเมนูจริงแทน goto ตรง, เนื้อหา default เหมือน cc เป๊ะ, รอ 90 วินาที, ไม่กรอก Code) — ทุกครั้งไม่แสดงผลเหมือนเดิม ขณะที่ 'cc' อายุ 2 วันยังทำงานได้ปกติ จึงสรุปใหม่ว่าน่าจะเป็น caching/propagation delay สำหรับแคมเปญใหม่ (นานกว่า 90 วินาที) ไม่ใช่บั๊ก 'ใช้งานไม่ได้เลย' ตามที่เคยรายงานผิดไปก่อนหน้านี้ — ขอโทษสำหรับความสับสน ยังต้องถาม Dev เพื่อยืนยัน root cause ที่แท้จริงและ TTL ของ cache (ถ้ามี)
🔴 อัปเดต 2026-09-02 (ยืนยันเพิ่มเติมผ่าน TC-E2E-002 automated spec): พบ pattern เดียวกันทุกประการบน Web-App — สร้างแคมเปญใหม่ scope=Global แล้วเช็คด้วย expect().toBeVisible({timeout:90_000}) (poll จริง ไม่ใช่ instant-check) ยังคง "ไม่แสดง" พอดีตอนหมด 90 วิ แต่กลับมาบัง UI ทันทีในสเต็ปถัดไป (แปลว่าจริงๆ โผล่มาที่ ~90-100+ วิ) — POS-v2 ไม่เจอ delay นี้เลยจาก display-decision suite (เช็คไวกว่านั้นมากแล้วผ่านทุกครั้ง) สรุปว่า delay นี้น่าจะเป็น backend cache/propagation ที่กระทบ Web-App+Med-Ex แต่ไม่กระทบ POS-v2 — ดู BUG-009 สำหรับผลกระทบที่ร้ายแรงกว่าที่พบต่อจากปัญหานี้บน Web-App</t>
        </is>
      </c>
    </row>
    <row r="15" ht="90" customHeight="1">
      <c r="A15" s="4" t="inlineStr">
        <is>
          <t>Defect ที่รีเทสแล้ว แต่ไม่สามารถ Reproduce ได้</t>
        </is>
      </c>
    </row>
    <row r="16" ht="60" customHeight="1">
      <c r="A16" s="7" t="inlineStr">
        <is>
          <t>Defect</t>
        </is>
      </c>
      <c r="B16" s="7" t="inlineStr">
        <is>
          <t>TC อ้างอิง</t>
        </is>
      </c>
      <c r="C16" s="7" t="inlineStr">
        <is>
          <t>Steps ที่ทำตาม</t>
        </is>
      </c>
      <c r="D16" s="7" t="inlineStr">
        <is>
          <t>ผลที่ได้</t>
        </is>
      </c>
      <c r="E16" s="7" t="inlineStr">
        <is>
          <t>ข้อเสนอแนะ</t>
        </is>
      </c>
    </row>
    <row r="17">
      <c r="A17" s="17" t="inlineStr">
        <is>
          <t>Popup แสดงไม่ถูกต้องเมื่อ Scope=ทุกสาขา + Frequency=วันละ 1 ครั้ง (นับรวมข้าม User แทนที่จะแยกตามสาขา)</t>
        </is>
      </c>
      <c r="B17" s="6" t="inlineStr">
        <is>
          <t>TC-DEFECT-001</t>
        </is>
      </c>
      <c r="C17" s="6" t="inlineStr">
        <is>
          <t>Login สาขา 1 → Popup แสดง → ปิด (ยืนยันจริง) → Login สาขา 2 (บริษัทเดียวกัน คนเดียวกัน)</t>
        </is>
      </c>
      <c r="D17" s="6" t="inlineStr">
        <is>
          <t>Popup แสดงผลอีกครั้งที่สาขา 2 ถูกต้องตาม Expected — Interactions Log ยืนยัน 2 รายการแยกตามสาขาชัดเจน</t>
        </is>
      </c>
      <c r="E17" s="6" t="inlineStr">
        <is>
          <t>อาจแก้ไขไปแล้วก่อนหน้านี้ หรือ reproduction steps ต้นฉบับมีรายละเอียดต่างจากที่ทดสอบ — ขอให้ผู้รายงานยืนยัน ว่ายังเจอปัญหาอยู่จริงไหม และระบุขั้นตอนเพิ่มเติม (เช่น logout เต็มรูปแบบหรือไม่, employee คนเดียวกันจริงไหม)</t>
        </is>
      </c>
    </row>
    <row r="20">
      <c r="A20" s="4" t="inlineStr">
        <is>
          <t>ข้อสังเกตเพิ่มเติม (ไม่ได้ฟันธงว่าเป็นบั๊ก — ควรให้ Dev ทวนอีกที)</t>
        </is>
      </c>
    </row>
    <row r="21">
      <c r="A21" s="7" t="inlineStr">
        <is>
          <t>หัวข้อ</t>
        </is>
      </c>
    </row>
    <row r="22">
      <c r="A22" s="6" t="inlineStr">
        <is>
          <t>ค่า action_taken ไม่ตรงกันข้ามช่วงเวลา</t>
        </is>
      </c>
    </row>
    <row r="23">
      <c r="A23" s="6" t="inlineStr">
        <is>
          <t>Wording ของ Frequency='once' ทำให้เข้าใจผิด</t>
        </is>
      </c>
    </row>
    <row r="24">
      <c r="A24" s="6" t="inlineStr">
        <is>
          <t>ไม่มี Limit จำนวนปุ่ม CTA</t>
        </is>
      </c>
    </row>
    <row r="25">
      <c r="A25" s="6" t="inlineStr">
        <is>
          <t>Live Preview มีปุ่มปิด 2 จุดที่พฤติกรรมไม่เท่ากัน</t>
        </is>
      </c>
    </row>
    <row r="28">
      <c r="A28" s="4" t="inlineStr">
        <is>
          <t>ยืนยันว่าทำงานถูกต้อง (ไม่ต้องแก้)</t>
        </is>
      </c>
    </row>
    <row r="29">
      <c r="A29" s="12" t="inlineStr">
        <is>
          <t>✅ ปุ่ม Redirect เปิด URL ปลายทางเป็นแท็บใหม่เสมอ ไม่พาพนักงานออกจากหน้าขายกลางคัน</t>
        </is>
      </c>
    </row>
    <row r="30">
      <c r="A30" s="12" t="inlineStr">
        <is>
          <t>✅ Block Tracking API ทั้งหมด → Popup ยังแสดงผลได้ปกติ หน้า POS ไม่ค้าง</t>
        </is>
      </c>
    </row>
    <row r="31">
      <c r="A31" s="12" t="inlineStr">
        <is>
          <t>✅ Block Client Active API ทั้งหมด → POS-v2 login/checkin ยังสำเร็จปกติ ไม่ช้าลง</t>
        </is>
      </c>
    </row>
    <row r="32">
      <c r="A32" s="12" t="inlineStr">
        <is>
          <t>✅ เปิด 2 แท็บพร้อมกันด้วย account เดียวกัน ไม่มีการนับ View ซ้ำจาก Race Condition</t>
        </is>
      </c>
    </row>
    <row r="33">
      <c r="A33" s="12" t="inlineStr">
        <is>
          <t>✅ Per-platform Frequency ทำงานอิสระจริง — ปิดบน Web-App แล้วยังเห็นซ้ำได้อีก 1 ครั้งบน POS-v2 (ยืนยันจากข้อมูลจริง)</t>
        </is>
      </c>
    </row>
    <row r="34">
      <c r="A34" t="inlineStr">
        <is>
          <t>BUG-009</t>
        </is>
      </c>
      <c r="B34" t="inlineStr">
        <is>
          <t>High</t>
        </is>
      </c>
      <c r="C34" t="inlineStr">
        <is>
          <t>P1</t>
        </is>
      </c>
      <c r="D34" t="inlineStr">
        <is>
          <t>🔴 Open — needs Dev investigation</t>
        </is>
      </c>
      <c r="E34" t="inlineStr">
        <is>
          <t>TC-E2E-002</t>
        </is>
      </c>
      <c r="F34" t="inlineStr">
        <is>
          <t>Web-App: a Global-scope Popup can block the "เข้าทำงาน" (select branch) link for 150+ seconds, effectively preventing login</t>
        </is>
      </c>
      <c r="G34" t="inlineStr">
        <is>
          <t>Web-App (app-stg.arincare.com), automated via tests/popup-notification/popup-webapp-e2e.spec.ts</t>
        </is>
      </c>
      <c r="H34" t="inlineStr">
        <is>
          <t>1. สร้างแคมเปญ Popup Notification ใหม่ platform=Web-App, scope=Global
2. Login Web-App ด้วยบัญชีที่ยังไม่เคยเห็นแคมเปญนี้ → เลือกบริษัท
3. รอให้ popup แสดง (มักช้า ~90-100+ วิ ดู BUG-008) → กดปุ่มปิด
4. พยายามกดลิงก์ "เข้าทำงาน" เพื่อเลือกสาขาต่อ</t>
        </is>
      </c>
      <c r="I34" t="inlineStr">
        <is>
          <t>ปิด popup แล้ว ควรกดปุ่ม/ลิงก์อื่นบนหน้าได้ตามปกติทันที</t>
        </is>
      </c>
      <c r="J34" t="inlineStr">
        <is>
          <t>แม้กดปิด popup (ผ่าน CTA button ที่ Admin ตั้งไว้) แล้ว backdrop/เนื้อหา popup ยังคงบัง link "เข้าทำงาน" ต่อเนื่อง — ลองใช้ loop ปิด+retry click อัตโนมัตินาน 60 วินาทีก็ยังไม่สำเร็จ รวมเวลาที่ popup บัง UI ต่อเนื่องมากกว่า 150 วินาที ไม่ยืนยันว่าเป็นเพราะ popup re-render/re-fetch ซ้ำ หรือปุ่มปิดทำงานไม่สมบูรณ์ — reproduced 4/4 ครั้งผ่าน Playwright test runner จริง (ไม่ใช่ script เดี่ยว)</t>
        </is>
      </c>
      <c r="K34" t="inlineStr">
        <is>
          <t>ผลกระทบร้ายแรงกว่า BUG-008 เพราะไม่ใช่แค่ "popup โฆษณาแสดงช้า" แต่คือพนักงานเข้าทำงาน (เลือกสาขา) ไม่ได้จริงในทางปฏิบัติ ถ้า Admin ตั้งแคมเปญ Global scope บน Web-App ช่วงเวลาทำการ อาจกระทบพนักงานหลายคนพร้อมกันไม่ให้ login เข้าระบบได้ตามปกติ ควร escalate ให้ Dev ตรวจสอบเร่งด่วนกว่าบั๊กกลุ่มนี้ตัวอื่น</t>
        </is>
      </c>
    </row>
  </sheetData>
  <mergeCells count="5">
    <mergeCell ref="A24:F24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10" customWidth="1" min="4" max="4"/>
    <col width="22" customWidth="1" min="5" max="5"/>
    <col width="34" customWidth="1" min="6" max="6"/>
    <col width="30" customWidth="1" min="7" max="7"/>
    <col width="50" customWidth="1" min="8" max="8"/>
    <col width="55" customWidth="1" min="9" max="9"/>
    <col width="16" customWidth="1" min="10" max="10"/>
    <col width="20" customWidth="1" min="11" max="11"/>
    <col width="13" customWidth="1" min="12" max="12"/>
    <col width="45" customWidth="1" min="13" max="13"/>
  </cols>
  <sheetData>
    <row r="1">
      <c r="A1" s="7" t="inlineStr">
        <is>
          <t>TC-ID</t>
        </is>
      </c>
      <c r="B1" s="7" t="inlineStr">
        <is>
          <t>โมดูล</t>
        </is>
      </c>
      <c r="C1" s="7" t="inlineStr">
        <is>
          <t>ฟังก์ชัน/สถานการณ์</t>
        </is>
      </c>
      <c r="D1" s="7" t="inlineStr">
        <is>
          <t>Priority</t>
        </is>
      </c>
      <c r="E1" s="7" t="inlineStr">
        <is>
          <t>ประเภท</t>
        </is>
      </c>
      <c r="F1" s="7" t="inlineStr">
        <is>
          <t>เงื่อนไขก่อนทดสอบ</t>
        </is>
      </c>
      <c r="G1" s="7" t="inlineStr">
        <is>
          <t>ข้อมูลทดสอบ</t>
        </is>
      </c>
      <c r="H1" s="7" t="inlineStr">
        <is>
          <t>ขั้นตอนการทดสอบ</t>
        </is>
      </c>
      <c r="I1" s="7" t="inlineStr">
        <is>
          <t>ผลลัพธ์ที่คาดหวัง</t>
        </is>
      </c>
      <c r="J1" s="7" t="inlineStr">
        <is>
          <t>อ้างอิง Req</t>
        </is>
      </c>
      <c r="K1" s="7" t="inlineStr">
        <is>
          <t>ผลการทดสอบจริง</t>
        </is>
      </c>
      <c r="L1" s="7" t="inlineStr">
        <is>
          <t>สถานะ</t>
        </is>
      </c>
      <c r="M1" s="7" t="inlineStr">
        <is>
          <t>หมายเหตุ</t>
        </is>
      </c>
    </row>
    <row r="2">
      <c r="A2" s="6" t="inlineStr">
        <is>
          <t>TC-DISPLAY-001</t>
        </is>
      </c>
      <c r="B2" s="6" t="inlineStr">
        <is>
          <t>POPUP-DISPLAY</t>
        </is>
      </c>
      <c r="C2" s="6" t="inlineStr">
        <is>
          <t>Popup แสดงผลเมื่อครบทุกเงื่อนไข (Status=active, ในช่วงวันที่, Platform ตรง, Scope ตรง, ยังไม่ถึง Frequency limit)</t>
        </is>
      </c>
      <c r="D2" s="8" t="inlineStr">
        <is>
          <t>Critical</t>
        </is>
      </c>
      <c r="E2" s="6" t="inlineStr">
        <is>
          <t>Positive (Happy Path)</t>
        </is>
      </c>
      <c r="F2" s="6" t="inlineStr">
        <is>
          <t>มี Popup ที่ status=active, platform=[pos-v2], scope=Global, frequency=once, ยังไม่เคยถูกดูโดยพนักงานนี้บน pos-v2</t>
        </is>
      </c>
      <c r="G2" s="6" t="inlineStr">
        <is>
          <t>Popup ID: PN-001 | now อยู่ระหว่าง start_date–end_date</t>
        </is>
      </c>
      <c r="H2" s="6" t="inlineStr">
        <is>
          <t>1. Login พนักงานที่ยังไม่เคย seen popup นี้
2. เข้าสู่หน้าจอขาย POS-v2 (Checkin)</t>
        </is>
      </c>
      <c r="I2" s="6" t="inlineStr">
        <is>
          <t>Client Active API คืน popup นี้กลับมา และ Modal แสดงผลบนหน้าจอทันที</t>
        </is>
      </c>
      <c r="J2" s="6" t="inlineStr">
        <is>
          <t>FR-POPUP-02</t>
        </is>
      </c>
      <c r="K2" s="6" t="inlineStr"/>
      <c r="L2" s="9" t="inlineStr">
        <is>
          <t>⬜ Not Run</t>
        </is>
      </c>
      <c r="M2" s="6" t="inlineStr">
        <is>
          <t>เคสฐาน (base case) ของ MC/DC — เงื่อนไข A,B,C,D,E ทั้งหมด = True</t>
        </is>
      </c>
    </row>
    <row r="3">
      <c r="A3" s="6" t="inlineStr">
        <is>
          <t>TC-DISPLAY-002</t>
        </is>
      </c>
      <c r="B3" s="6" t="inlineStr">
        <is>
          <t>POPUP-DISPLAY</t>
        </is>
      </c>
      <c r="C3" s="6" t="inlineStr">
        <is>
          <t>Popup ไม่แสดงเมื่อ Status ไม่ใช่ active (พิสูจน์เงื่อนไข A)</t>
        </is>
      </c>
      <c r="D3" s="8" t="inlineStr">
        <is>
          <t>Critical</t>
        </is>
      </c>
      <c r="E3" s="6" t="inlineStr">
        <is>
          <t>Negative</t>
        </is>
      </c>
      <c r="F3" s="6" t="inlineStr">
        <is>
          <t>Popup เดียวกับ TC-DISPLAY-001 แต่ status=inactive/draft, เงื่อนไขอื่นทั้งหมดเหมือนเดิม (B,C,D,E = True)</t>
        </is>
      </c>
      <c r="G3" s="6" t="inlineStr">
        <is>
          <t>Popup ID: PN-002 (status=inactive)</t>
        </is>
      </c>
      <c r="H3" s="6" t="inlineStr">
        <is>
          <t>1. Login พนักงาน
2. เข้าสู่หน้าจอขาย POS-v2</t>
        </is>
      </c>
      <c r="I3" s="6" t="inlineStr">
        <is>
          <t>Client Active API ไม่คืน popup นี้ (ไม่แสดง Modal)</t>
        </is>
      </c>
      <c r="J3" s="6" t="inlineStr">
        <is>
          <t>FR-POPUP-02</t>
        </is>
      </c>
      <c r="K3" s="6" t="inlineStr">
        <is>
          <t>รันจริง 2026-08-27: Popup status=inactive → ไม่แสดงบน POS-v2 ถูกต้อง (พิสูจน์เงื่อนไข A ของ MC/DC สำเร็จ)</t>
        </is>
      </c>
      <c r="L3" s="12" t="inlineStr">
        <is>
          <t>✅ Pass</t>
        </is>
      </c>
      <c r="M3" s="6" t="inlineStr">
        <is>
          <t>MC/DC pair กับ TC-DISPLAY-001 — ต่างกันแค่ A → พิสูจน์ A มีผลต่อผลลัพธ์</t>
        </is>
      </c>
    </row>
    <row r="4">
      <c r="A4" s="6" t="inlineStr">
        <is>
          <t>TC-DISPLAY-003</t>
        </is>
      </c>
      <c r="B4" s="6" t="inlineStr">
        <is>
          <t>POPUP-DISPLAY</t>
        </is>
      </c>
      <c r="C4" s="6" t="inlineStr">
        <is>
          <t>Popup ไม่แสดงเมื่ออยู่นอกช่วง start_date–end_date (พิสูจน์เงื่อนไข B)</t>
        </is>
      </c>
      <c r="D4" s="8" t="inlineStr">
        <is>
          <t>Critical</t>
        </is>
      </c>
      <c r="E4" s="6" t="inlineStr">
        <is>
          <t>Negative</t>
        </is>
      </c>
      <c r="F4" s="6" t="inlineStr">
        <is>
          <t>Popup status=active, แต่ now อยู่ก่อน start_date, เงื่อนไขอื่น A,C,D,E = True</t>
        </is>
      </c>
      <c r="G4" s="6" t="inlineStr">
        <is>
          <t>Popup ID: PN-003 (start_date = พรุ่งนี้)</t>
        </is>
      </c>
      <c r="H4" s="6" t="inlineStr">
        <is>
          <t>1. Login พนักงาน
2. เข้าสู่หน้าจอขาย POS-v2</t>
        </is>
      </c>
      <c r="I4" s="6" t="inlineStr">
        <is>
          <t>Client Active API ไม่คืน popup นี้</t>
        </is>
      </c>
      <c r="J4" s="6" t="inlineStr">
        <is>
          <t>FR-POPUP-02</t>
        </is>
      </c>
      <c r="K4" s="6" t="inlineStr"/>
      <c r="L4" s="9" t="inlineStr">
        <is>
          <t>⬜ Not Run</t>
        </is>
      </c>
      <c r="M4" s="6" t="inlineStr">
        <is>
          <t>MC/DC pair กับ TC-DISPLAY-001 — ต่างกันแค่ B</t>
        </is>
      </c>
    </row>
    <row r="5">
      <c r="A5" s="6" t="inlineStr">
        <is>
          <t>TC-DISPLAY-004</t>
        </is>
      </c>
      <c r="B5" s="6" t="inlineStr">
        <is>
          <t>POPUP-DISPLAY</t>
        </is>
      </c>
      <c r="C5" s="6" t="inlineStr">
        <is>
          <t>Popup ไม่แสดงเมื่อ Platform ไม่ตรง (พิสูจน์เงื่อนไข C)</t>
        </is>
      </c>
      <c r="D5" s="8" t="inlineStr">
        <is>
          <t>Critical</t>
        </is>
      </c>
      <c r="E5" s="6" t="inlineStr">
        <is>
          <t>Negative</t>
        </is>
      </c>
      <c r="F5" s="6" t="inlineStr">
        <is>
          <t>Popup status=active, platform=[web-app] เท่านั้น, A,B,D,E = True</t>
        </is>
      </c>
      <c r="G5" s="6" t="inlineStr">
        <is>
          <t>Popup ID: PN-004 (platform=[web-app])</t>
        </is>
      </c>
      <c r="H5" s="6" t="inlineStr">
        <is>
          <t>1. Login พนักงาน
2. เข้าสู่หน้าจอขาย POS-v2 (platform=pos-v2)</t>
        </is>
      </c>
      <c r="I5" s="6" t="inlineStr">
        <is>
          <t>Client Active API (?platform=pos-v2) ไม่คืน popup นี้</t>
        </is>
      </c>
      <c r="J5" s="6" t="inlineStr">
        <is>
          <t>FR-POPUP-02</t>
        </is>
      </c>
      <c r="K5" s="6" t="inlineStr"/>
      <c r="L5" s="9" t="inlineStr">
        <is>
          <t>⬜ Not Run</t>
        </is>
      </c>
      <c r="M5" s="6" t="inlineStr">
        <is>
          <t>MC/DC pair กับ TC-DISPLAY-001 — ต่างกันแค่ C</t>
        </is>
      </c>
    </row>
    <row r="6">
      <c r="A6" s="6" t="inlineStr">
        <is>
          <t>TC-DISPLAY-005</t>
        </is>
      </c>
      <c r="B6" s="6" t="inlineStr">
        <is>
          <t>POPUP-DISPLAY</t>
        </is>
      </c>
      <c r="C6" s="6" t="inlineStr">
        <is>
          <t>Popup ไม่แสดงเมื่อ Scope ไม่ตรงกับ Company/Branch พนักงาน (พิสูจน์เงื่อนไข D)</t>
        </is>
      </c>
      <c r="D6" s="8" t="inlineStr">
        <is>
          <t>Critical</t>
        </is>
      </c>
      <c r="E6" s="6" t="inlineStr">
        <is>
          <t>Negative</t>
        </is>
      </c>
      <c r="F6" s="6" t="inlineStr">
        <is>
          <t>Popup status=active, scope=Company X + Branch 1 เท่านั้น, A,B,C,E = True</t>
        </is>
      </c>
      <c r="G6" s="6" t="inlineStr">
        <is>
          <t>Popup ID: PN-005 (scope=Company X/Branch 1) | พนักงานสังกัด Company X/Branch 2</t>
        </is>
      </c>
      <c r="H6" s="6" t="inlineStr">
        <is>
          <t>1. Login พนักงานสังกัด Branch 2
2. เข้าสู่หน้าจอขาย POS-v2</t>
        </is>
      </c>
      <c r="I6" s="6" t="inlineStr">
        <is>
          <t>Client Active API ไม่คืน popup นี้</t>
        </is>
      </c>
      <c r="J6" s="6" t="inlineStr">
        <is>
          <t>FR-POPUP-05</t>
        </is>
      </c>
      <c r="K6" s="6" t="inlineStr"/>
      <c r="L6" s="9" t="inlineStr">
        <is>
          <t>⬜ Not Run</t>
        </is>
      </c>
      <c r="M6" s="6" t="inlineStr">
        <is>
          <t>MC/DC pair กับ TC-DISPLAY-001 — ต่างกันแค่ D</t>
        </is>
      </c>
    </row>
    <row r="7">
      <c r="A7" s="6" t="inlineStr">
        <is>
          <t>TC-DISPLAY-006</t>
        </is>
      </c>
      <c r="B7" s="6" t="inlineStr">
        <is>
          <t>POPUP-DISPLAY</t>
        </is>
      </c>
      <c r="C7" s="6" t="inlineStr">
        <is>
          <t>Popup ไม่แสดงเมื่อพนักงานเคยดูครบตาม Frequency แล้ว (พิสูจน์เงื่อนไข E)</t>
        </is>
      </c>
      <c r="D7" s="8" t="inlineStr">
        <is>
          <t>Critical</t>
        </is>
      </c>
      <c r="E7" s="6" t="inlineStr">
        <is>
          <t>Negative</t>
        </is>
      </c>
      <c r="F7" s="6" t="inlineStr">
        <is>
          <t>Popup frequency=once, พนักงานนี้เคยดู popup นี้บน pos-v2 ไปแล้ว, A,B,C,D = True</t>
        </is>
      </c>
      <c r="G7" s="6" t="inlineStr">
        <is>
          <t>Popup ID: PN-006 (frequency=once) | พนักงานมีประวัติ action_taken=viewed บน pos-v2 แล้ว</t>
        </is>
      </c>
      <c r="H7" s="6" t="inlineStr">
        <is>
          <t>1. Login พนักงานคนเดิม
2. เข้าสู่หน้าจอขาย POS-v2 อีกครั้ง</t>
        </is>
      </c>
      <c r="I7" s="6" t="inlineStr">
        <is>
          <t>Client Active API ไม่คืน popup นี้ซ้ำ</t>
        </is>
      </c>
      <c r="J7" s="6" t="inlineStr">
        <is>
          <t>FR-POPUP-04</t>
        </is>
      </c>
      <c r="K7" s="6" t="inlineStr">
        <is>
          <t>หลักฐานเดียวกับ TC-FREQ-001 (popup-display-e2e.spec.ts): พนักงานที่เคยดูแล้ว (frequency=once) ไม่เห็น Popup ซ้ำในการ login ครั้งถัดไป</t>
        </is>
      </c>
      <c r="L7" s="12" t="inlineStr">
        <is>
          <t>✅ Pass</t>
        </is>
      </c>
      <c r="M7" s="6" t="inlineStr">
        <is>
          <t>MC/DC pair กับ TC-DISPLAY-001 — ต่างกันแค่ E — ครบ 6 เคส (N+1=6) ปิด MC/DC ของกฎหลัก</t>
        </is>
      </c>
    </row>
    <row r="8">
      <c r="A8" s="6" t="inlineStr">
        <is>
          <t>TC-DATE-001</t>
        </is>
      </c>
      <c r="B8" s="6" t="inlineStr">
        <is>
          <t>POPUP-DATE</t>
        </is>
      </c>
      <c r="C8" s="6" t="inlineStr">
        <is>
          <t>Popup แสดงผลเมื่อ now = start_date พอดี (ขอบล่างของช่วงวันที่)</t>
        </is>
      </c>
      <c r="D8" s="6" t="inlineStr">
        <is>
          <t>High</t>
        </is>
      </c>
      <c r="E8" s="6" t="inlineStr">
        <is>
          <t>Positive (BVA)</t>
        </is>
      </c>
      <c r="F8" s="6" t="inlineStr">
        <is>
          <t>Popup status=active, start_date = วันนี้เวลา 00:00:00</t>
        </is>
      </c>
      <c r="G8" s="6" t="inlineStr">
        <is>
          <t>Popup ID: PN-007</t>
        </is>
      </c>
      <c r="H8" s="6" t="inlineStr">
        <is>
          <t>1. ตั้งเวลาระบบ/ทดสอบ ณ start_date พอดี
2. Login พนักงาน → เข้า POS-v2</t>
        </is>
      </c>
      <c r="I8" s="6" t="inlineStr">
        <is>
          <t>Popup แสดงผล (start_date เป็นขอบที่ 'เริ่มแสดง' ได้แล้ว)</t>
        </is>
      </c>
      <c r="J8" s="6" t="inlineStr">
        <is>
          <t>FR-POPUP-02</t>
        </is>
      </c>
      <c r="K8" s="6" t="inlineStr">
        <is>
          <t>รันจริง 2026-08-27: start_date = เวลาปัจจุบัน (ผ่านมา 1 นาที) → แสดงผลถูกต้อง (ขอบล่างพอดี)</t>
        </is>
      </c>
      <c r="L8" s="12" t="inlineStr">
        <is>
          <t>✅ Pass</t>
        </is>
      </c>
      <c r="M8" s="6" t="inlineStr">
        <is>
          <t>BVA ขอบล่าง</t>
        </is>
      </c>
    </row>
    <row r="9">
      <c r="A9" s="6" t="inlineStr">
        <is>
          <t>TC-DATE-002</t>
        </is>
      </c>
      <c r="B9" s="6" t="inlineStr">
        <is>
          <t>POPUP-DATE</t>
        </is>
      </c>
      <c r="C9" s="6" t="inlineStr">
        <is>
          <t>พฤติกรรมเมื่อ now = end_date พอดี (23:59:59 ของวันสุดท้าย) ยังไม่ชัดเจนว่านับรวมหรือไม่</t>
        </is>
      </c>
      <c r="D9" s="6" t="inlineStr">
        <is>
          <t>High</t>
        </is>
      </c>
      <c r="E9" s="6" t="inlineStr">
        <is>
          <t>Edge / Blocked</t>
        </is>
      </c>
      <c r="F9" s="6" t="inlineStr">
        <is>
          <t>Popup status=active, end_date = วันนี้</t>
        </is>
      </c>
      <c r="G9" s="6" t="inlineStr">
        <is>
          <t>Popup ID: PN-008</t>
        </is>
      </c>
      <c r="H9" s="6" t="inlineStr">
        <is>
          <t>1. ตั้งเวลาระบบ ณ end_date เวลา 23:59:59
2. Login พนักงาน → เข้า POS-v2</t>
        </is>
      </c>
      <c r="I9" s="6" t="inlineStr">
        <is>
          <t>⏸️ ไม่มี Oracle ชัดเจนจากสเปกว่า end_date เป็น inclusive (แสดงได้ทั้งวันสุดท้าย) หรือ exclusive — ต้องถาม BA/PM ก่อน ห้ามเดา</t>
        </is>
      </c>
      <c r="J9" s="6" t="inlineStr">
        <is>
          <t>FR-POPUP-02</t>
        </is>
      </c>
      <c r="K9" s="6" t="inlineStr"/>
      <c r="L9" s="10" t="inlineStr">
        <is>
          <t>⏸️ Blocked</t>
        </is>
      </c>
      <c r="M9" s="6" t="inlineStr">
        <is>
          <t>Test Oracle ไม่ชัด → mark Blocked ตามกฎ PART 5, ต้องเปิด Requirement Question ก่อน Execute</t>
        </is>
      </c>
    </row>
    <row r="10">
      <c r="A10" s="6" t="inlineStr">
        <is>
          <t>TC-DATE-003</t>
        </is>
      </c>
      <c r="B10" s="6" t="inlineStr">
        <is>
          <t>POPUP-DATE</t>
        </is>
      </c>
      <c r="C10" s="6" t="inlineStr">
        <is>
          <t>Popup ไม่แสดงก่อนถึง start_date (ขอบล่าง−1)</t>
        </is>
      </c>
      <c r="D10" s="6" t="inlineStr">
        <is>
          <t>High</t>
        </is>
      </c>
      <c r="E10" s="6" t="inlineStr">
        <is>
          <t>Negative (BVA)</t>
        </is>
      </c>
      <c r="F10" s="6" t="inlineStr">
        <is>
          <t>Popup status=active, start_date = พรุ่งนี้</t>
        </is>
      </c>
      <c r="G10" s="6" t="inlineStr">
        <is>
          <t>Popup ID: PN-009</t>
        </is>
      </c>
      <c r="H10" s="6" t="inlineStr">
        <is>
          <t>1. Login พนักงาน → เข้า POS-v2 ก่อนถึง start_date</t>
        </is>
      </c>
      <c r="I10" s="6" t="inlineStr">
        <is>
          <t>Popup ไม่แสดง</t>
        </is>
      </c>
      <c r="J10" s="6" t="inlineStr">
        <is>
          <t>FR-POPUP-02</t>
        </is>
      </c>
      <c r="K10" s="6" t="inlineStr">
        <is>
          <t>รันจริง 2026-08-27: start_date = พรุ่งนี้ (ยังไม่ถึง) → ไม่แสดงผล ถูกต้อง</t>
        </is>
      </c>
      <c r="L10" s="12" t="inlineStr">
        <is>
          <t>✅ Pass</t>
        </is>
      </c>
      <c r="M10" s="6" t="inlineStr">
        <is>
          <t>BVA ขอบล่าง-1</t>
        </is>
      </c>
    </row>
    <row r="11">
      <c r="A11" s="6" t="inlineStr">
        <is>
          <t>TC-DATE-004</t>
        </is>
      </c>
      <c r="B11" s="6" t="inlineStr">
        <is>
          <t>POPUP-DATE</t>
        </is>
      </c>
      <c r="C11" s="6" t="inlineStr">
        <is>
          <t>Popup ไม่แสดงหลังพ้น end_date (ขอบบน+1)</t>
        </is>
      </c>
      <c r="D11" s="6" t="inlineStr">
        <is>
          <t>High</t>
        </is>
      </c>
      <c r="E11" s="6" t="inlineStr">
        <is>
          <t>Negative (BVA)</t>
        </is>
      </c>
      <c r="F11" s="6" t="inlineStr">
        <is>
          <t>Popup status=active, end_date = เมื่อวาน</t>
        </is>
      </c>
      <c r="G11" s="6" t="inlineStr">
        <is>
          <t>Popup ID: PN-010</t>
        </is>
      </c>
      <c r="H11" s="6" t="inlineStr">
        <is>
          <t>1. Login พนักงาน → เข้า POS-v2 หลัง end_date ผ่านไปแล้ว</t>
        </is>
      </c>
      <c r="I11" s="6" t="inlineStr">
        <is>
          <t>Popup ไม่แสดง แม้ status ยังเป็น active</t>
        </is>
      </c>
      <c r="J11" s="6" t="inlineStr">
        <is>
          <t>FR-POPUP-02</t>
        </is>
      </c>
      <c r="K11" s="6" t="inlineStr">
        <is>
          <t>รันจริง 2026-08-27: end_date = เมื่อครู่ (พ้นไปแล้ว) → ไม่แสดงผล แม้ status ยังเป็น active ถูกต้อง</t>
        </is>
      </c>
      <c r="L11" s="12" t="inlineStr">
        <is>
          <t>✅ Pass</t>
        </is>
      </c>
      <c r="M11" s="6" t="inlineStr">
        <is>
          <t>BVA ขอบบน+1 — ตรงกับ Checklist ผู้ใช้ข้อ 8</t>
        </is>
      </c>
    </row>
    <row r="12">
      <c r="A12" s="6" t="inlineStr">
        <is>
          <t>TC-DATE-005</t>
        </is>
      </c>
      <c r="B12" s="6" t="inlineStr">
        <is>
          <t>POPUP-DATE</t>
        </is>
      </c>
      <c r="C12" s="6" t="inlineStr">
        <is>
          <t>แคมเปญ 1 วัน (start_date = end_date) แสดงเฉพาะวันนั้นวันเดียว</t>
        </is>
      </c>
      <c r="D12" s="6" t="inlineStr">
        <is>
          <t>Medium</t>
        </is>
      </c>
      <c r="E12" s="6" t="inlineStr">
        <is>
          <t>Edge (BVA)</t>
        </is>
      </c>
      <c r="F12" s="6" t="inlineStr">
        <is>
          <t>Popup status=active, start_date = end_date = วันนี้</t>
        </is>
      </c>
      <c r="G12" s="6" t="inlineStr">
        <is>
          <t>Popup ID: PN-011</t>
        </is>
      </c>
      <c r="H12" s="6" t="inlineStr">
        <is>
          <t>1. Login วันนี้ → ตรวจว่าแสดง
2. Login วันพรุ่งนี้ → ตรวจว่าไม่แสดง</t>
        </is>
      </c>
      <c r="I12" s="6" t="inlineStr">
        <is>
          <t>แสดงเฉพาะวันที่ start_date=end_date เท่านั้น วันถัดไปไม่แสดง</t>
        </is>
      </c>
      <c r="J12" s="6" t="inlineStr">
        <is>
          <t>FR-POPUP-02</t>
        </is>
      </c>
      <c r="K12" s="6" t="inlineStr"/>
      <c r="L12" s="9" t="inlineStr">
        <is>
          <t>⬜ Not Run</t>
        </is>
      </c>
      <c r="M12" s="6" t="inlineStr">
        <is>
          <t>Boundary ที่ start=end ชนกันพอดี</t>
        </is>
      </c>
    </row>
    <row r="13">
      <c r="A13" s="6" t="inlineStr">
        <is>
          <t>TC-PLAT-001</t>
        </is>
      </c>
      <c r="B13" s="6" t="inlineStr">
        <is>
          <t>POPUP-PLAT</t>
        </is>
      </c>
      <c r="C13" s="6" t="inlineStr">
        <is>
          <t>Popup platform=[pos-v2] เท่านั้น แสดงเมื่อขอ platform=pos-v2</t>
        </is>
      </c>
      <c r="D13" s="8" t="inlineStr">
        <is>
          <t>Critical</t>
        </is>
      </c>
      <c r="E13" s="6" t="inlineStr">
        <is>
          <t>Positive</t>
        </is>
      </c>
      <c r="F13" s="6" t="inlineStr">
        <is>
          <t>Popup platform=[pos-v2]</t>
        </is>
      </c>
      <c r="G13" s="6" t="inlineStr">
        <is>
          <t>Popup ID: PN-012</t>
        </is>
      </c>
      <c r="H13" s="6" t="inlineStr">
        <is>
          <t>1. Login พนักงาน → เข้า POS-v2</t>
        </is>
      </c>
      <c r="I13" s="6" t="inlineStr">
        <is>
          <t>Client Active API (?platform=pos-v2) คืน popup นี้</t>
        </is>
      </c>
      <c r="J13" s="6" t="inlineStr">
        <is>
          <t>FR-POPUP-02</t>
        </is>
      </c>
      <c r="K13" s="6" t="inlineStr">
        <is>
          <t>รันจริง 2026-08-27: Popup platform=[pos-v2] เท่านั้น → แสดงผลบน POS-v2 ถูกต้อง</t>
        </is>
      </c>
      <c r="L13" s="12" t="inlineStr">
        <is>
          <t>✅ Pass</t>
        </is>
      </c>
      <c r="M13" s="6" t="inlineStr"/>
    </row>
    <row r="14">
      <c r="A14" s="6" t="inlineStr">
        <is>
          <t>TC-PLAT-002</t>
        </is>
      </c>
      <c r="B14" s="6" t="inlineStr">
        <is>
          <t>POPUP-PLAT</t>
        </is>
      </c>
      <c r="C14" s="6" t="inlineStr">
        <is>
          <t>Popup platform=[pos-v2] เท่านั้น ไม่แสดงบน web-app</t>
        </is>
      </c>
      <c r="D14" s="8" t="inlineStr">
        <is>
          <t>Critical</t>
        </is>
      </c>
      <c r="E14" s="6" t="inlineStr">
        <is>
          <t>Negative</t>
        </is>
      </c>
      <c r="F14" s="6" t="inlineStr">
        <is>
          <t>Popup platform=[pos-v2] เท่านั้น (ไม่มี web-app)</t>
        </is>
      </c>
      <c r="G14" s="6" t="inlineStr">
        <is>
          <t>Popup ID: PN-012 (เดียวกับข้างบน)</t>
        </is>
      </c>
      <c r="H14" s="6" t="inlineStr">
        <is>
          <t>1. Login พนักงาน → เข้า Web-App ERP</t>
        </is>
      </c>
      <c r="I14" s="6" t="inlineStr">
        <is>
          <t>Client Active API (?platform=web-app) ไม่คืน popup นี้</t>
        </is>
      </c>
      <c r="J14" s="6" t="inlineStr">
        <is>
          <t>FR-POPUP-02</t>
        </is>
      </c>
      <c r="K14" s="6" t="inlineStr">
        <is>
          <t>รันจริง 2026-08-27: Popup platform=[web-app] เท่านั้น → ไม่แสดงผลบน POS-v2 ถูกต้อง</t>
        </is>
      </c>
      <c r="L14" s="12" t="inlineStr">
        <is>
          <t>✅ Pass</t>
        </is>
      </c>
      <c r="M14" s="6" t="inlineStr">
        <is>
          <t>EP: invalid platform partition สำหรับ popup นี้</t>
        </is>
      </c>
    </row>
    <row r="15">
      <c r="A15" s="6" t="inlineStr">
        <is>
          <t>TC-PLAT-003</t>
        </is>
      </c>
      <c r="B15" s="6" t="inlineStr">
        <is>
          <t>POPUP-PLAT</t>
        </is>
      </c>
      <c r="C15" s="6" t="inlineStr">
        <is>
          <t>Popup ตั้ง platform=[pos-v2, web-app] แสดงได้ทั้ง 2 แพลตฟอร์ม</t>
        </is>
      </c>
      <c r="D15" s="6" t="inlineStr">
        <is>
          <t>High</t>
        </is>
      </c>
      <c r="E15" s="6" t="inlineStr">
        <is>
          <t>Positive</t>
        </is>
      </c>
      <c r="F15" s="6" t="inlineStr">
        <is>
          <t>Popup platform=[pos-v2, web-app], พนักงานยังไม่เคยเห็นทั้งคู่</t>
        </is>
      </c>
      <c r="G15" s="6" t="inlineStr">
        <is>
          <t>Popup ID: PN-013</t>
        </is>
      </c>
      <c r="H15" s="6" t="inlineStr">
        <is>
          <t>1. Login → เข้า POS-v2 → ตรวจว่าแสดง
2. Login → เข้า Web-App (คนละ session) → ตรวจว่าแสดง</t>
        </is>
      </c>
      <c r="I15" s="6" t="inlineStr">
        <is>
          <t>แสดงผลได้ทั้ง 2 แพลตฟอร์มอย่างอิสระ (เตรียมข้อมูลก่อนไปทดสอบ per-platform frequency ที่ TC-FREQ-002)</t>
        </is>
      </c>
      <c r="J15" s="6" t="inlineStr">
        <is>
          <t>FR-POPUP-02</t>
        </is>
      </c>
      <c r="K15" s="6" t="inlineStr"/>
      <c r="L15" s="9" t="inlineStr">
        <is>
          <t>⬜ Not Run</t>
        </is>
      </c>
      <c r="M15" s="6" t="inlineStr"/>
    </row>
    <row r="16">
      <c r="A16" s="6" t="inlineStr">
        <is>
          <t>TC-PLAT-004</t>
        </is>
      </c>
      <c r="B16" s="6" t="inlineStr">
        <is>
          <t>POPUP-PLAT</t>
        </is>
      </c>
      <c r="C16" s="6" t="inlineStr">
        <is>
          <t>เรียก Client Active API โดยไม่ส่ง/ส่ง platform ผิด enum</t>
        </is>
      </c>
      <c r="D16" s="6" t="inlineStr">
        <is>
          <t>Medium</t>
        </is>
      </c>
      <c r="E16" s="6" t="inlineStr">
        <is>
          <t>Negative (EP)</t>
        </is>
      </c>
      <c r="F16" s="6" t="inlineStr">
        <is>
          <t>ระบบทำงานปกติ</t>
        </is>
      </c>
      <c r="G16" s="6" t="inlineStr">
        <is>
          <t>GET /popup-notifications/active (ไม่ส่ง platform) และ ?platform=mobile-app</t>
        </is>
      </c>
      <c r="H16" s="6" t="inlineStr">
        <is>
          <t>1. ยิง API โดยไม่มี query param platform
2. ยิง API ด้วย platform=mobile-app (ไม่มีในระบบ)</t>
        </is>
      </c>
      <c r="I16" s="6" t="inlineStr">
        <is>
          <t>คืน 400 Bad Request พร้อมข้อความ validation ทั้ง 2 กรณี</t>
        </is>
      </c>
      <c r="J16" s="6" t="inlineStr">
        <is>
          <t>FR-POPUP-02</t>
        </is>
      </c>
      <c r="K16" s="6" t="inlineStr"/>
      <c r="L16" s="9" t="inlineStr">
        <is>
          <t>⬜ Not Run</t>
        </is>
      </c>
      <c r="M16" s="6" t="inlineStr">
        <is>
          <t>EP invalid partition ของพารามิเตอร์ platform</t>
        </is>
      </c>
    </row>
    <row r="17">
      <c r="A17" s="6" t="inlineStr">
        <is>
          <t>TC-SCOPE-001</t>
        </is>
      </c>
      <c r="B17" s="6" t="inlineStr">
        <is>
          <t>POPUP-SCOPE</t>
        </is>
      </c>
      <c r="C17" s="6" t="inlineStr">
        <is>
          <t>Popup ไม่ระบุ Scope (Global) แสดงให้ทุกบริษัท/ทุกสาขา</t>
        </is>
      </c>
      <c r="D17" s="8" t="inlineStr">
        <is>
          <t>Critical</t>
        </is>
      </c>
      <c r="E17" s="6" t="inlineStr">
        <is>
          <t>Positive</t>
        </is>
      </c>
      <c r="F17" s="6" t="inlineStr">
        <is>
          <t>Popup ไม่มี scope row ใด ๆ (Global)</t>
        </is>
      </c>
      <c r="G17" s="6" t="inlineStr">
        <is>
          <t>Popup ID: PN-014 | พนักงาน 2 คนคนละบริษัทกัน</t>
        </is>
      </c>
      <c r="H17" s="6" t="inlineStr">
        <is>
          <t>1. Login พนักงาน Company A → ตรวจว่าแสดง
2. Login พนักงาน Company B (ไม่เกี่ยวข้อง) → ตรวจว่าแสดง</t>
        </is>
      </c>
      <c r="I17" s="6" t="inlineStr">
        <is>
          <t>แสดงผลให้ทุกบริษัท/สาขาโดยไม่มีข้อยกเว้น</t>
        </is>
      </c>
      <c r="J17" s="6" t="inlineStr">
        <is>
          <t>FR-POPUP-05</t>
        </is>
      </c>
      <c r="K17" s="6" t="inlineStr">
        <is>
          <t>รันจริง 2026-08-27: Popup scope=Global (ไม่ระบุ) → แสดงผลให้พนักงานถูกต้อง ไม่จำกัดร้าน/สาขา</t>
        </is>
      </c>
      <c r="L17" s="12" t="inlineStr">
        <is>
          <t>✅ Pass</t>
        </is>
      </c>
      <c r="M17" s="6" t="inlineStr"/>
    </row>
    <row r="18">
      <c r="A18" s="6" t="inlineStr">
        <is>
          <t>TC-SCOPE-002</t>
        </is>
      </c>
      <c r="B18" s="6" t="inlineStr">
        <is>
          <t>POPUP-SCOPE</t>
        </is>
      </c>
      <c r="C18" s="6" t="inlineStr">
        <is>
          <t>Popup ระบุ Scope = Company เท่านั้น แสดงให้ทุกสาขาในบริษัทนั้น (สาขา A)</t>
        </is>
      </c>
      <c r="D18" s="8" t="inlineStr">
        <is>
          <t>Critical</t>
        </is>
      </c>
      <c r="E18" s="6" t="inlineStr">
        <is>
          <t>Positive</t>
        </is>
      </c>
      <c r="F18" s="6" t="inlineStr">
        <is>
          <t>Popup scope = Company X (ไม่ระบุ branch)</t>
        </is>
      </c>
      <c r="G18" s="6" t="inlineStr">
        <is>
          <t>Popup ID: PN-015 | พนักงาน Company X / Branch 1</t>
        </is>
      </c>
      <c r="H18" s="6" t="inlineStr">
        <is>
          <t>1. Login พนักงาน Company X / Branch 1 → เข้า POS-v2</t>
        </is>
      </c>
      <c r="I18" s="6" t="inlineStr">
        <is>
          <t>Popup แสดงผล</t>
        </is>
      </c>
      <c r="J18" s="6" t="inlineStr">
        <is>
          <t>FR-POPUP-05</t>
        </is>
      </c>
      <c r="K18" s="6" t="inlineStr"/>
      <c r="L18" s="9" t="inlineStr">
        <is>
          <t>⬜ Not Run</t>
        </is>
      </c>
      <c r="M18" s="6" t="inlineStr"/>
    </row>
    <row r="19">
      <c r="A19" s="6" t="inlineStr">
        <is>
          <t>TC-SCOPE-003</t>
        </is>
      </c>
      <c r="B19" s="6" t="inlineStr">
        <is>
          <t>POPUP-SCOPE</t>
        </is>
      </c>
      <c r="C19" s="6" t="inlineStr">
        <is>
          <t>Popup ระบุ Scope = Company เท่านั้น แสดงให้ทุกสาขาในบริษัทนั้น (สาขา B ต่างสาขา)</t>
        </is>
      </c>
      <c r="D19" s="8" t="inlineStr">
        <is>
          <t>Critical</t>
        </is>
      </c>
      <c r="E19" s="6" t="inlineStr">
        <is>
          <t>Positive</t>
        </is>
      </c>
      <c r="F19" s="6" t="inlineStr">
        <is>
          <t>Popup scope = Company X (ไม่ระบุ branch) — เดียวกับ TC-SCOPE-002</t>
        </is>
      </c>
      <c r="G19" s="6" t="inlineStr">
        <is>
          <t>Popup ID: PN-015 | พนักงาน Company X / Branch 2</t>
        </is>
      </c>
      <c r="H19" s="6" t="inlineStr">
        <is>
          <t>1. Login พนักงาน Company X / Branch 2 (คนละสาขากับ TC-SCOPE-002) → เข้า POS-v2</t>
        </is>
      </c>
      <c r="I19" s="6" t="inlineStr">
        <is>
          <t>Popup แสดงผลเช่นกัน เพราะ Scope ระดับ Company ครอบคลุมทุกสาขา</t>
        </is>
      </c>
      <c r="J19" s="6" t="inlineStr">
        <is>
          <t>FR-POPUP-05</t>
        </is>
      </c>
      <c r="K19" s="6" t="inlineStr"/>
      <c r="L19" s="9" t="inlineStr">
        <is>
          <t>⬜ Not Run</t>
        </is>
      </c>
      <c r="M19" s="6" t="inlineStr">
        <is>
          <t>คู่กับ TC-SCOPE-002 ยืนยันว่า Company scope ไม่ผูกกับสาขาใดสาขาหนึ่ง</t>
        </is>
      </c>
    </row>
    <row r="20">
      <c r="A20" s="6" t="inlineStr">
        <is>
          <t>TC-SCOPE-004</t>
        </is>
      </c>
      <c r="B20" s="6" t="inlineStr">
        <is>
          <t>POPUP-SCOPE</t>
        </is>
      </c>
      <c r="C20" s="6" t="inlineStr">
        <is>
          <t>Popup ระบุ Scope = Company X ไม่แสดงให้พนักงาน Company Y</t>
        </is>
      </c>
      <c r="D20" s="8" t="inlineStr">
        <is>
          <t>Critical</t>
        </is>
      </c>
      <c r="E20" s="6" t="inlineStr">
        <is>
          <t>Negative</t>
        </is>
      </c>
      <c r="F20" s="6" t="inlineStr">
        <is>
          <t>Popup scope = Company X</t>
        </is>
      </c>
      <c r="G20" s="6" t="inlineStr">
        <is>
          <t>Popup ID: PN-015 | พนักงาน Company Y (คนละบริษัท)</t>
        </is>
      </c>
      <c r="H20" s="6" t="inlineStr">
        <is>
          <t>1. Login พนักงาน Company Y → เข้า POS-v2</t>
        </is>
      </c>
      <c r="I20" s="6" t="inlineStr">
        <is>
          <t>Popup ไม่แสดง</t>
        </is>
      </c>
      <c r="J20" s="6" t="inlineStr">
        <is>
          <t>FR-POPUP-05</t>
        </is>
      </c>
      <c r="K20" s="6" t="inlineStr"/>
      <c r="L20" s="9" t="inlineStr">
        <is>
          <t>⬜ Not Run</t>
        </is>
      </c>
      <c r="M20" s="6" t="inlineStr"/>
    </row>
    <row r="21">
      <c r="A21" s="6" t="inlineStr">
        <is>
          <t>TC-SCOPE-005</t>
        </is>
      </c>
      <c r="B21" s="6" t="inlineStr">
        <is>
          <t>POPUP-SCOPE</t>
        </is>
      </c>
      <c r="C21" s="6" t="inlineStr">
        <is>
          <t>Popup ระบุ Scope = Company+Branch แสดงเฉพาะสาขาที่เลือกเท่านั้น (สาขา A)</t>
        </is>
      </c>
      <c r="D21" s="8" t="inlineStr">
        <is>
          <t>Critical</t>
        </is>
      </c>
      <c r="E21" s="6" t="inlineStr">
        <is>
          <t>Positive</t>
        </is>
      </c>
      <c r="F21" s="6" t="inlineStr">
        <is>
          <t>Popup scope = Company X + Branch 1 เท่านั้น</t>
        </is>
      </c>
      <c r="G21" s="6" t="inlineStr">
        <is>
          <t>Popup ID: PN-016 | พนักงาน Company X / Branch 1</t>
        </is>
      </c>
      <c r="H21" s="6" t="inlineStr">
        <is>
          <t>1. Login พนักงาน Company X / Branch 1 → เข้า POS-v2</t>
        </is>
      </c>
      <c r="I21" s="6" t="inlineStr">
        <is>
          <t>Popup แสดงผล</t>
        </is>
      </c>
      <c r="J21" s="6" t="inlineStr">
        <is>
          <t>FR-POPUP-05</t>
        </is>
      </c>
      <c r="K21" s="6" t="inlineStr">
        <is>
          <t>รันผ่าน Playwright (popup-scope.spec.ts) 2026-08-27: Scope=Company+Branch ตรงกับพนักงาน → Popup แสดงผลถูกต้อง</t>
        </is>
      </c>
      <c r="L21" s="12" t="inlineStr">
        <is>
          <t>✅ Pass</t>
        </is>
      </c>
      <c r="M21" s="6" t="inlineStr">
        <is>
          <t>ตรงกับ Checklist ผู้ใช้ข้อ 3 (สาขา A ต้องเห็น)</t>
        </is>
      </c>
    </row>
    <row r="22">
      <c r="A22" s="6" t="inlineStr">
        <is>
          <t>TC-SCOPE-006</t>
        </is>
      </c>
      <c r="B22" s="6" t="inlineStr">
        <is>
          <t>POPUP-SCOPE</t>
        </is>
      </c>
      <c r="C22" s="6" t="inlineStr">
        <is>
          <t>Popup ระบุ Scope = Company+Branch ไม่แสดงกับสาขาอื่นแม้บริษัทเดียวกัน (สาขา B)</t>
        </is>
      </c>
      <c r="D22" s="8" t="inlineStr">
        <is>
          <t>Critical</t>
        </is>
      </c>
      <c r="E22" s="6" t="inlineStr">
        <is>
          <t>Negative</t>
        </is>
      </c>
      <c r="F22" s="6" t="inlineStr">
        <is>
          <t>Popup scope = Company X + Branch 1 เท่านั้น (เดียวกับ TC-SCOPE-005)</t>
        </is>
      </c>
      <c r="G22" s="6" t="inlineStr">
        <is>
          <t>Popup ID: PN-016 | พนักงาน Company X / Branch 2</t>
        </is>
      </c>
      <c r="H22" s="6" t="inlineStr">
        <is>
          <t>1. Login พนักงาน Company X / Branch 2 → เข้า POS-v2</t>
        </is>
      </c>
      <c r="I22" s="6" t="inlineStr">
        <is>
          <t>Popup ไม่แสดง แม้อยู่บริษัทเดียวกัน (ตามกฎข้อ 3.3)</t>
        </is>
      </c>
      <c r="J22" s="6" t="inlineStr">
        <is>
          <t>FR-POPUP-05</t>
        </is>
      </c>
      <c r="K22" s="6" t="inlineStr">
        <is>
          <t>ยังทดสอบไม่ได้ — ต้องมีบัญชีทดสอบคนละ Company/Branch ซึ่งยังไม่มีใน .env (ดู qa-context.md A5)</t>
        </is>
      </c>
      <c r="L22" s="10" t="inlineStr">
        <is>
          <t>⏸️ Blocked</t>
        </is>
      </c>
      <c r="M22" s="6" t="inlineStr">
        <is>
          <t>ตรงกับ Checklist ผู้ใช้ข้อ 3 (สาขา B ต้องไม่เห็น) — เคสสำคัญที่สุดของ Scope</t>
        </is>
      </c>
    </row>
    <row r="23">
      <c r="A23" s="6" t="inlineStr">
        <is>
          <t>TC-SCOPE-007</t>
        </is>
      </c>
      <c r="B23" s="6" t="inlineStr">
        <is>
          <t>POPUP-SCOPE</t>
        </is>
      </c>
      <c r="C23" s="6" t="inlineStr">
        <is>
          <t>Popup ระบุหลาย Scope rows (2 สาขา คนละบริษัท) แสดงเฉพาะสาขาที่ระบุเท่านั้น</t>
        </is>
      </c>
      <c r="D23" s="6" t="inlineStr">
        <is>
          <t>High</t>
        </is>
      </c>
      <c r="E23" s="6" t="inlineStr">
        <is>
          <t>Edge (Decision Table)</t>
        </is>
      </c>
      <c r="F23" s="6" t="inlineStr">
        <is>
          <t>Popup scope = [Company X/Branch 1, Company Y/Branch 3]</t>
        </is>
      </c>
      <c r="G23" s="6" t="inlineStr">
        <is>
          <t>Popup ID: PN-017</t>
        </is>
      </c>
      <c r="H23" s="6" t="inlineStr">
        <is>
          <t>1. Login พนักงาน Company X/Branch 1 → ตรวจว่าแสดง
2. Login พนักงาน Company Y/Branch 3 → ตรวจว่าแสดง
3. Login พนักงาน Company X/Branch 2 (สาขาอื่นในบริษัท X ที่ไม่อยู่ใน scope) → ตรวจว่าไม่แสดง</t>
        </is>
      </c>
      <c r="I23" s="6" t="inlineStr">
        <is>
          <t>แสดงเฉพาะ 2 สาขาที่ระบุไว้ใน scope เท่านั้น สาขาอื่นแม้อยู่บริษัทเดียวกันไม่แสดง</t>
        </is>
      </c>
      <c r="J23" s="6" t="inlineStr">
        <is>
          <t>FR-POPUP-05</t>
        </is>
      </c>
      <c r="K23" s="6" t="inlineStr"/>
      <c r="L23" s="9" t="inlineStr">
        <is>
          <t>⬜ Not Run</t>
        </is>
      </c>
      <c r="M23" s="6" t="inlineStr">
        <is>
          <t>ยืนยันว่า multi-scope ทำงานแบบ OR ของแต่ละ scope row</t>
        </is>
      </c>
    </row>
    <row r="24">
      <c r="A24" s="6" t="inlineStr">
        <is>
          <t>TC-FREQ-001</t>
        </is>
      </c>
      <c r="B24" s="6" t="inlineStr">
        <is>
          <t>POPUP-FREQ</t>
        </is>
      </c>
      <c r="C24" s="6" t="inlineStr">
        <is>
          <t>Frequency=once: แสดงครั้งแรกแล้วไม่แสดงซ้ำเมื่อเข้าใช้งานครั้งที่ 2</t>
        </is>
      </c>
      <c r="D24" s="8" t="inlineStr">
        <is>
          <t>Critical</t>
        </is>
      </c>
      <c r="E24" s="6" t="inlineStr">
        <is>
          <t>Positive/Negative (State)</t>
        </is>
      </c>
      <c r="F24" s="6" t="inlineStr">
        <is>
          <t>Popup frequency=once, platform=[pos-v2], พนักงานยังไม่เคยเห็น</t>
        </is>
      </c>
      <c r="G24" s="6" t="inlineStr">
        <is>
          <t>Popup ID: PN-018</t>
        </is>
      </c>
      <c r="H24" s="6" t="inlineStr">
        <is>
          <t>1. Login พนักงาน → เข้า POS-v2 ครั้งที่ 1 → ปิด Popup
2. Logout แล้ว Login ใหม่ → เข้า POS-v2 ครั้งที่ 2</t>
        </is>
      </c>
      <c r="I24" s="6" t="inlineStr">
        <is>
          <t>ครั้งที่ 1: Popup แสดง | ครั้งที่ 2: Popup ไม่แสดงซ้ำอีก</t>
        </is>
      </c>
      <c r="J24" s="6" t="inlineStr">
        <is>
          <t>FR-POPUP-04</t>
        </is>
      </c>
      <c r="K24" s="6" t="inlineStr">
        <is>
          <t>รันผ่าน Playwright (popup-display-e2e.spec.ts) 2026-08-27: Login POS-v2 ครั้งที่ 1 เห็น Popup → ปิด → Login ครั้งที่ 2 ไม่เห็นซ้ำ ตรงตามคาด</t>
        </is>
      </c>
      <c r="L24" s="12" t="inlineStr">
        <is>
          <t>✅ Pass</t>
        </is>
      </c>
      <c r="M24" s="6" t="inlineStr">
        <is>
          <t>ตรงกับ Checklist ผู้ใช้ข้อ 4</t>
        </is>
      </c>
    </row>
    <row r="25">
      <c r="A25" s="6" t="inlineStr">
        <is>
          <t>TC-FREQ-002</t>
        </is>
      </c>
      <c r="B25" s="6" t="inlineStr">
        <is>
          <t>POPUP-FREQ</t>
        </is>
      </c>
      <c r="C25" s="6" t="inlineStr">
        <is>
          <t>Frequency=once + 2 Platforms: ดูบน Web-App แล้ว ต้องยังเห็นซ้ำอีก 1 ครั้งบน POS-v2</t>
        </is>
      </c>
      <c r="D25" s="8" t="inlineStr">
        <is>
          <t>Critical</t>
        </is>
      </c>
      <c r="E25" s="6" t="inlineStr">
        <is>
          <t>Positive (Per-platform isolation)</t>
        </is>
      </c>
      <c r="F25" s="6" t="inlineStr">
        <is>
          <t>Popup frequency=once, platform=[web-app, pos-v2], พนักงานยังไม่เคยเห็นทั้งคู่</t>
        </is>
      </c>
      <c r="G25" s="6" t="inlineStr">
        <is>
          <t>Popup ID: PN-013 (เดียวกับ TC-PLAT-003)</t>
        </is>
      </c>
      <c r="H25" s="6" t="inlineStr">
        <is>
          <t>1. Login พนักงาน → เข้า Web-App → Popup แสดง → ปิด
2. พนักงานคนเดิม Login เข้า POS-v2 (session ใหม่)</t>
        </is>
      </c>
      <c r="I25" s="6" t="inlineStr">
        <is>
          <t>Popup ต้องแสดงอีก 1 ครั้งบน POS-v2 แม้เพิ่งดูบน Web-App ไปแล้ว (นับ Frequency แยกตาม Platform)</t>
        </is>
      </c>
      <c r="J25" s="6" t="inlineStr">
        <is>
          <t>FR-POPUP-03</t>
        </is>
      </c>
      <c r="K25" s="6" t="inlineStr">
        <is>
          <t>✅ ยืนยันจากข้อมูลจริงบน Staging (ไม่ใช่การ Execute แบบควบคุม precondition เอง): พบพนักงาน ID 2673 เห็น Popup บน POS-v2 เวลา 14:16 แล้วยัง viewed ซ้ำได้อีกครั้งบน Web-App เวลา 14:20 วันเดียวกัน (frequency=once) — Business Rule 3.1 ทำงานถูกต้องจริง แต่หากต้องการความเข้มงวดระดับ Execute เต็มรูปแบบ ควรสร้าง Popup ควบคุมเองแล้ว Login ทั้ง 2 platform ซ้ำเพื่อยืนยันอีกครั้ง (ยังไม่ได้ทำ)</t>
        </is>
      </c>
      <c r="L25" s="12" t="inlineStr">
        <is>
          <t>✅ Pass</t>
        </is>
      </c>
      <c r="M25" s="6" t="inlineStr">
        <is>
          <t>Business rule 3.1 — ตรงกับ Checklist ผู้ใช้ข้อ 5 (Critical ที่สุดของโมดูล Frequency)
✅ ยืนยันจากข้อมูลจริงบน Staging (2026-08-27): พบพนักงาน ID 2673 (สาขา A) เห็น Popup 'สายรุ้งทดสอบ' บน POS-v2 เวลา 14:16:13 แล้วยัง viewed ซ้ำได้อีกครั้งบน Web-App เวลา 14:20:34 วันเดียวกัน (frequency=once) — Business Rule ข้อ 3.1 ทำงานถูกต้องจริงในระบบ Production-shaped staging data</t>
        </is>
      </c>
    </row>
    <row r="26">
      <c r="A26" s="6" t="inlineStr">
        <is>
          <t>TC-FREQ-003</t>
        </is>
      </c>
      <c r="B26" s="6" t="inlineStr">
        <is>
          <t>POPUP-FREQ</t>
        </is>
      </c>
      <c r="C26" s="6" t="inlineStr">
        <is>
          <t>Frequency=daily: ไม่แสดงซ้ำวันเดียวกัน แต่แสดงใหม่หลังเที่ยงคืน</t>
        </is>
      </c>
      <c r="D26" s="6" t="inlineStr">
        <is>
          <t>High</t>
        </is>
      </c>
      <c r="E26" s="6" t="inlineStr">
        <is>
          <t>Edge (BVA ข้ามวัน)</t>
        </is>
      </c>
      <c r="F26" s="6" t="inlineStr">
        <is>
          <t>Popup frequency=daily, platform=[pos-v2]</t>
        </is>
      </c>
      <c r="G26" s="6" t="inlineStr">
        <is>
          <t>Popup ID: PN-019</t>
        </is>
      </c>
      <c r="H26" s="6" t="inlineStr">
        <is>
          <t>1. Login เวลา 08:00 → ตรวจว่าแสดง → ปิด
2. Login อีกครั้งเวลา 18:00 วันเดียวกัน → ตรวจว่าไม่แสดง
3. Login วันถัดไปหลัง 00:00 (เวลาไทย +07:00) → ตรวจว่าแสดงใหม่</t>
        </is>
      </c>
      <c r="I26" s="6" t="inlineStr">
        <is>
          <t>แสดง 08:00, ไม่แสดง 18:00 วันเดียวกัน, แสดงอีกครั้งหลังเที่ยงคืนตาม timezone ผู้ใช้ (+07:00)</t>
        </is>
      </c>
      <c r="J26" s="6" t="inlineStr">
        <is>
          <t>FR-POPUP-04</t>
        </is>
      </c>
      <c r="K26" s="6" t="inlineStr"/>
      <c r="L26" s="9" t="inlineStr">
        <is>
          <t>⬜ Not Run</t>
        </is>
      </c>
      <c r="M26" s="6" t="inlineStr">
        <is>
          <t>ต้องยืนยันว่า reset ใช้เวลาฝั่ง Server หรือ Client — ดู TC-NFR-004</t>
        </is>
      </c>
    </row>
    <row r="27">
      <c r="A27" s="6" t="inlineStr">
        <is>
          <t>TC-FREQ-004</t>
        </is>
      </c>
      <c r="B27" s="6" t="inlineStr">
        <is>
          <t>POPUP-FREQ</t>
        </is>
      </c>
      <c r="C27" s="6" t="inlineStr">
        <is>
          <t>Frequency=daily: Login ซ้ำหลายครั้งในวันเดียวกันแสดงแค่ครั้งแรก</t>
        </is>
      </c>
      <c r="D27" s="6" t="inlineStr">
        <is>
          <t>Medium</t>
        </is>
      </c>
      <c r="E27" s="6" t="inlineStr">
        <is>
          <t>Negative (State)</t>
        </is>
      </c>
      <c r="F27" s="6" t="inlineStr">
        <is>
          <t>Popup frequency=daily, พนักงานเคยดูวันนี้แล้ว</t>
        </is>
      </c>
      <c r="G27" s="6" t="inlineStr">
        <is>
          <t>Popup ID: PN-019</t>
        </is>
      </c>
      <c r="H27" s="6" t="inlineStr">
        <is>
          <t>1. Login-Logout-Login ซ้ำ 3 รอบภายในวันเดียวกัน</t>
        </is>
      </c>
      <c r="I27" s="6" t="inlineStr">
        <is>
          <t>แสดงเฉพาะรอบแรกของวัน รอบที่ 2 และ 3 ไม่แสดง</t>
        </is>
      </c>
      <c r="J27" s="6" t="inlineStr">
        <is>
          <t>FR-POPUP-04</t>
        </is>
      </c>
      <c r="K27" s="6" t="inlineStr"/>
      <c r="L27" s="9" t="inlineStr">
        <is>
          <t>⬜ Not Run</t>
        </is>
      </c>
      <c r="M27" s="6" t="inlineStr"/>
    </row>
    <row r="28">
      <c r="A28" s="6" t="inlineStr">
        <is>
          <t>TC-FREQ-005</t>
        </is>
      </c>
      <c r="B28" s="6" t="inlineStr">
        <is>
          <t>POPUP-FREQ</t>
        </is>
      </c>
      <c r="C28" s="6" t="inlineStr">
        <is>
          <t>Frequency=weekly: ไม่แสดงซ้ำในสัปดาห์เดียวกัน แต่แสดงใหม่หลังรีเซ็ตวันจันทร์</t>
        </is>
      </c>
      <c r="D28" s="6" t="inlineStr">
        <is>
          <t>High</t>
        </is>
      </c>
      <c r="E28" s="6" t="inlineStr">
        <is>
          <t>Edge (BVA ข้ามสัปดาห์)</t>
        </is>
      </c>
      <c r="F28" s="6" t="inlineStr">
        <is>
          <t>Popup frequency=weekly</t>
        </is>
      </c>
      <c r="G28" s="6" t="inlineStr">
        <is>
          <t>Popup ID: PN-020</t>
        </is>
      </c>
      <c r="H28" s="6" t="inlineStr">
        <is>
          <t>1. Login วันจันทร์ → ตรวจว่าแสดง → ปิด
2. Login วันศุกร์สัปดาห์เดียวกัน → ตรวจว่าไม่แสดง
3. Login วันจันทร์สัปดาห์ถัดไป → ตรวจว่าแสดงใหม่</t>
        </is>
      </c>
      <c r="I28" s="6" t="inlineStr">
        <is>
          <t>แสดงเฉพาะครั้งแรกของสัปดาห์ รีเซ็ตทุกวันจันทร์ตามสเปก 3.2</t>
        </is>
      </c>
      <c r="J28" s="6" t="inlineStr">
        <is>
          <t>FR-POPUP-04</t>
        </is>
      </c>
      <c r="K28" s="6" t="inlineStr"/>
      <c r="L28" s="9" t="inlineStr">
        <is>
          <t>⬜ Not Run</t>
        </is>
      </c>
      <c r="M28" s="6" t="inlineStr"/>
    </row>
    <row r="29">
      <c r="A29" s="6" t="inlineStr">
        <is>
          <t>TC-FREQ-006</t>
        </is>
      </c>
      <c r="B29" s="6" t="inlineStr">
        <is>
          <t>POPUP-FREQ</t>
        </is>
      </c>
      <c r="C29" s="6" t="inlineStr">
        <is>
          <t>Frequency=weekly: ขอบเขตรอบสัปดาห์ (วันอาทิตย์ → วันจันทร์ถัดไป)</t>
        </is>
      </c>
      <c r="D29" s="6" t="inlineStr">
        <is>
          <t>Medium</t>
        </is>
      </c>
      <c r="E29" s="6" t="inlineStr">
        <is>
          <t>Edge (BVA)</t>
        </is>
      </c>
      <c r="F29" s="6" t="inlineStr">
        <is>
          <t>Popup frequency=weekly, เคยดูไปแล้วในสัปดาห์นี้</t>
        </is>
      </c>
      <c r="G29" s="6" t="inlineStr">
        <is>
          <t>Popup ID: PN-020</t>
        </is>
      </c>
      <c r="H29" s="6" t="inlineStr">
        <is>
          <t>1. Login วันอาทิตย์คืนดึก → ตรวจว่าไม่แสดง (ยังอยู่สัปดาห์เดิม)
2. Login วันจันทร์เช้าถัดมา → ตรวจว่าแสดง</t>
        </is>
      </c>
      <c r="I29" s="6" t="inlineStr">
        <is>
          <t>รีเซ็ตแม่นยำที่จุดเปลี่ยนวันจันทร์ ไม่ใช่ทุก 7 วันนับจากวันที่ดูครั้งแรก</t>
        </is>
      </c>
      <c r="J29" s="6" t="inlineStr">
        <is>
          <t>FR-POPUP-04</t>
        </is>
      </c>
      <c r="K29" s="6" t="inlineStr"/>
      <c r="L29" s="9" t="inlineStr">
        <is>
          <t>⬜ Not Run</t>
        </is>
      </c>
      <c r="M29" s="6" t="inlineStr">
        <is>
          <t>BVA ที่จุดเปลี่ยนสัปดาห์พอดี</t>
        </is>
      </c>
    </row>
    <row r="30">
      <c r="A30" s="6" t="inlineStr">
        <is>
          <t>TC-FREQ-007</t>
        </is>
      </c>
      <c r="B30" s="6" t="inlineStr">
        <is>
          <t>POPUP-FREQ</t>
        </is>
      </c>
      <c r="C30" s="6" t="inlineStr">
        <is>
          <t>Frequency=monthly: ไม่แสดงซ้ำในเดือนเดียวกัน แต่แสดงใหม่วันที่ 1 เดือนถัดไป</t>
        </is>
      </c>
      <c r="D30" s="6" t="inlineStr">
        <is>
          <t>High</t>
        </is>
      </c>
      <c r="E30" s="6" t="inlineStr">
        <is>
          <t>Edge (BVA ข้ามเดือน)</t>
        </is>
      </c>
      <c r="F30" s="6" t="inlineStr">
        <is>
          <t>Popup frequency=monthly</t>
        </is>
      </c>
      <c r="G30" s="6" t="inlineStr">
        <is>
          <t>Popup ID: PN-021</t>
        </is>
      </c>
      <c r="H30" s="6" t="inlineStr">
        <is>
          <t>1. Login วันที่ 1 ของเดือน → ตรวจว่าแสดง → ปิด
2. Login วันที่ 15 เดือนเดียวกัน → ตรวจว่าไม่แสดง
3. Login วันที่ 1 เดือนถัดไป → ตรวจว่าแสดงใหม่</t>
        </is>
      </c>
      <c r="I30" s="6" t="inlineStr">
        <is>
          <t>รีเซ็ตทุกวันที่ 1 ของเดือนตามสเปก 3.2</t>
        </is>
      </c>
      <c r="J30" s="6" t="inlineStr">
        <is>
          <t>FR-POPUP-04</t>
        </is>
      </c>
      <c r="K30" s="6" t="inlineStr"/>
      <c r="L30" s="9" t="inlineStr">
        <is>
          <t>⬜ Not Run</t>
        </is>
      </c>
      <c r="M30" s="6" t="inlineStr"/>
    </row>
    <row r="31">
      <c r="A31" s="6" t="inlineStr">
        <is>
          <t>TC-FREQ-008</t>
        </is>
      </c>
      <c r="B31" s="6" t="inlineStr">
        <is>
          <t>POPUP-FREQ</t>
        </is>
      </c>
      <c r="C31" s="6" t="inlineStr">
        <is>
          <t>Frequency=monthly: ขอบเขตวันสุดท้ายของเดือน → วันที่ 1 เดือนถัดไป</t>
        </is>
      </c>
      <c r="D31" s="6" t="inlineStr">
        <is>
          <t>Medium</t>
        </is>
      </c>
      <c r="E31" s="6" t="inlineStr">
        <is>
          <t>Edge (BVA)</t>
        </is>
      </c>
      <c r="F31" s="6" t="inlineStr">
        <is>
          <t>Popup frequency=monthly, เคยดูไปแล้วเดือนนี้</t>
        </is>
      </c>
      <c r="G31" s="6" t="inlineStr">
        <is>
          <t>Popup ID: PN-021</t>
        </is>
      </c>
      <c r="H31" s="6" t="inlineStr">
        <is>
          <t>1. Login วันสุดท้ายของเดือน (28/30/31 แล้วแต่เดือน) → ตรวจว่าไม่แสดง
2. Login วันที่ 1 เดือนถัดไป → ตรวจว่าแสดง</t>
        </is>
      </c>
      <c r="I31" s="6" t="inlineStr">
        <is>
          <t>รีเซ็ตแม่นยำไม่ว่าจะเป็นเดือนที่มี 28, 29, 30 หรือ 31 วัน</t>
        </is>
      </c>
      <c r="J31" s="6" t="inlineStr">
        <is>
          <t>FR-POPUP-04</t>
        </is>
      </c>
      <c r="K31" s="6" t="inlineStr"/>
      <c r="L31" s="9" t="inlineStr">
        <is>
          <t>⬜ Not Run</t>
        </is>
      </c>
      <c r="M31" s="6" t="inlineStr">
        <is>
          <t>ครอบคลุมปีอธิกสุรทิน (ก.พ. 29 วัน) ด้วย</t>
        </is>
      </c>
    </row>
    <row r="32">
      <c r="A32" s="6" t="inlineStr">
        <is>
          <t>TC-BTN-001</t>
        </is>
      </c>
      <c r="B32" s="6" t="inlineStr">
        <is>
          <t>POPUP-BTN</t>
        </is>
      </c>
      <c r="C32" s="6" t="inlineStr">
        <is>
          <t>ปุ่มประเภท close ปิด Modal ทันทีและบันทึก dismissed</t>
        </is>
      </c>
      <c r="D32" s="8" t="inlineStr">
        <is>
          <t>Critical</t>
        </is>
      </c>
      <c r="E32" s="6" t="inlineStr">
        <is>
          <t>Positive</t>
        </is>
      </c>
      <c r="F32" s="6" t="inlineStr">
        <is>
          <t>Popup กำลังแสดงอยู่ พร้อมปุ่ม type=close</t>
        </is>
      </c>
      <c r="G32" s="6" t="inlineStr">
        <is>
          <t>Popup ID: PN-022 (ปุ่ม 'ปิด')</t>
        </is>
      </c>
      <c r="H32" s="6" t="inlineStr">
        <is>
          <t>1. Popup แสดงผล
2. กดปุ่มปิด</t>
        </is>
      </c>
      <c r="I32" s="6" t="inlineStr">
        <is>
          <t>Modal ปิดทันที ไม่มีการเปิด URL ใดๆ และ Tracking API ถูกยิงด้วย action_taken='clicked_button_{id} (ข้อความบนปุ่ม)' (ยืนยันจากของจริง 2026-08-27: ปุ่ม type=close ไม่ได้ track เป็นค่าพิเศษ 'dismissed' แยกต่างหาก แต่ track เหมือนปุ่มปกติทุกประเภท)</t>
        </is>
      </c>
      <c r="J32" s="6" t="inlineStr">
        <is>
          <t>FR-POPUP-06</t>
        </is>
      </c>
      <c r="K32" s="6" t="inlineStr">
        <is>
          <t>รันผ่าน Playwright + ยืนยันซ้ำด้วย exploration script 2026-08-27: กดปุ่ม CTA ที่ตั้งค่า Action='ปิดหน้าต่าง' ปิด Modal ได้ถูกต้อง ⚠️ แต่ action_taken ที่บันทึกจริงคือ clicked_button_{id} (label) ไม่ใช่ 'dismissed' ตามที่ Expected Result เดิมเขียนไว้ — แก้ Expected Result ให้ตรงความจริงแล้ว</t>
        </is>
      </c>
      <c r="L32" s="12" t="inlineStr">
        <is>
          <t>✅ Pass</t>
        </is>
      </c>
      <c r="M32" s="6" t="inlineStr">
        <is>
          <t>✅ ทดสอบจริงบน Staging (2026-08-27): ปุ่ม CTA ที่ตั้งค่า Action="ปิดหน้าต่าง (Close Modal)" (label เช่น "ปิดหน้าต่างนี้") ถูกบันทึกเป็น action_taken="clicked_button_{id} (label)" เหมือนปุ่ม redirect/api_call ทุกประการ ไม่ใช่ "dismissed"/"dismiss_close_button" ตามที่ Test Case นี้เขียนไว้เดิม ⚠️ ต้องแก้ Expected Result — ค่า dismiss_close_button/dismiss_backdrop สงวนไว้เฉพาะปุ่ม native × และคลิก backdrop เท่านั้น (อยู่ระหว่างยืนยันรอบ follow-up)
⚠️ รีเทส 2026-08-31: รันซ้ำเจอ Regression — คลิกปุ่ม 'ปิด' 14 ครั้งติดแล้ว Modal ไม่ปิด สาเหตุคือมี Modal อื่นซ้อนทับอยู่ (ระบบ Promotion Popup เดิม ไม่ใช่ Popup Notification) มาบัง/แย่ง pointer-events ไม่ใช่ปุ่ม 'ปิด' ของ Popup Notification เสียเอง เก็บ Pass ของ TC-BTN-001 ไว้ตามเดิม (กรณีไม่มี Modal อื่นแทรก) แต่บันทึกเป็น BUG-005 แยกต่างหากสำหรับปัญหา cross-feature stacking นี้</t>
        </is>
      </c>
    </row>
    <row r="33">
      <c r="A33" s="6" t="inlineStr">
        <is>
          <t>TC-BTN-002</t>
        </is>
      </c>
      <c r="B33" s="6" t="inlineStr">
        <is>
          <t>POPUP-BTN</t>
        </is>
      </c>
      <c r="C33" s="6" t="inlineStr">
        <is>
          <t>ปุ่มประเภท redirect เปิด URL ปลายทางถูกต้องบน POS-v2</t>
        </is>
      </c>
      <c r="D33" s="8" t="inlineStr">
        <is>
          <t>Critical</t>
        </is>
      </c>
      <c r="E33" s="6" t="inlineStr">
        <is>
          <t>Positive</t>
        </is>
      </c>
      <c r="F33" s="6" t="inlineStr">
        <is>
          <t>Popup มีปุ่ม type=redirect, url=https://example.com/promo</t>
        </is>
      </c>
      <c r="G33" s="6" t="inlineStr">
        <is>
          <t>Popup ID: PN-023</t>
        </is>
      </c>
      <c r="H33" s="6" t="inlineStr">
        <is>
          <t>1. เข้า POS-v2 → Popup แสดง
2. กดปุ่ม CTA</t>
        </is>
      </c>
      <c r="I33" s="6" t="inlineStr">
        <is>
          <t>เปิด URL ปลายทางใน**แท็บใหม่** (ยืนยันจากของจริง — ไม่ใช่ same-tab) Modal เดิมปิดลง, Tracking API ยิง action_taken='clicked_button_{id}'</t>
        </is>
      </c>
      <c r="J33" s="6" t="inlineStr">
        <is>
          <t>FR-POPUP-06</t>
        </is>
      </c>
      <c r="K33" s="6" t="inlineStr">
        <is>
          <t>รันจริง 2026-08-27 (explore-client-buttons-2.ts): กดปุ่ม redirect → เปิด URL ปลายทางเป็นแท็บใหม่ (ยืนยันด้วย context.on('page') จับ URL ตรงเป๊ะ) แท็บ POS-v2 เดิมไม่เปลี่ยนหน้า — action_taken บันทึกเป็น clicked_button_{id} ถูกต้อง</t>
        </is>
      </c>
      <c r="L33" s="12" t="inlineStr">
        <is>
          <t>✅ Pass</t>
        </is>
      </c>
      <c r="M33" s="6" t="inlineStr">
        <is>
          <t>ตรงกับ Checklist ผู้ใช้ข้อ 6 (ฝั่ง POS-v2)
✅ ยืนยันจากของจริง 2026-08-27: ปุ่ม redirect เปิด URL ปลายทางเป็น**แท็บใหม่** (context.on("page") จับได้) ส่วนแท็บ POS-v2 เดิมยังอยู่หน้าเดิมไม่เปลี่ยน — เป็นพฤติกรรมที่ถูกต้องดีแล้ว (ไม่พาพนักงานออกจากหน้าขายกลางคัน) ปิดประเด็น Oracle เดิมที่ไม่ชัดเจนเรื่อง same-tab/new-tab</t>
        </is>
      </c>
    </row>
    <row r="34">
      <c r="A34" s="6" t="inlineStr">
        <is>
          <t>TC-BTN-002B</t>
        </is>
      </c>
      <c r="B34" s="6" t="inlineStr">
        <is>
          <t>POPUP-BTN</t>
        </is>
      </c>
      <c r="C34" s="6" t="inlineStr">
        <is>
          <t>ปุ่มประเภท redirect เปิด URL ปลายทางถูกต้องบน Web-App</t>
        </is>
      </c>
      <c r="D34" s="8" t="inlineStr">
        <is>
          <t>Critical</t>
        </is>
      </c>
      <c r="E34" s="6" t="inlineStr">
        <is>
          <t>Positive</t>
        </is>
      </c>
      <c r="F34" s="6" t="inlineStr">
        <is>
          <t>Popup เดียวกับ TC-BTN-002 ตั้ง platform=[web-app] ด้วย</t>
        </is>
      </c>
      <c r="G34" s="6" t="inlineStr">
        <is>
          <t>Popup ID: PN-023</t>
        </is>
      </c>
      <c r="H34" s="6" t="inlineStr">
        <is>
          <t>1. เข้า Web-App → Popup แสดง
2. กดปุ่ม CTA</t>
        </is>
      </c>
      <c r="I34" s="6" t="inlineStr">
        <is>
          <t>เปิด URL ปลายทางถูกต้อง, Modal ปิดลง, Tracking API ยิง action_taken='clicked_button_{id}'</t>
        </is>
      </c>
      <c r="J34" s="6" t="inlineStr">
        <is>
          <t>FR-POPUP-06</t>
        </is>
      </c>
      <c r="K34" s="6" t="inlineStr"/>
      <c r="L34" s="9" t="inlineStr">
        <is>
          <t>⬜ Not Run</t>
        </is>
      </c>
      <c r="M34" s="6" t="inlineStr">
        <is>
          <t>ตรงกับ Checklist ผู้ใช้ข้อ 6 (ฝั่ง Web-App) — แยกเคสจาก POS-v2 เพราะคนละ Client implementation</t>
        </is>
      </c>
    </row>
    <row r="35">
      <c r="A35" s="6" t="inlineStr">
        <is>
          <t>TC-BTN-003</t>
        </is>
      </c>
      <c r="B35" s="6" t="inlineStr">
        <is>
          <t>POPUP-BTN</t>
        </is>
      </c>
      <c r="C35" s="6" t="inlineStr">
        <is>
          <t>ปุ่ม redirect ที่ตั้งค่า URL เป็น javascript: ต้องถูกบล็อก ห้ามรันสคริปต์</t>
        </is>
      </c>
      <c r="D35" s="8" t="inlineStr">
        <is>
          <t>Critical</t>
        </is>
      </c>
      <c r="E35" s="6" t="inlineStr">
        <is>
          <t>Security (Negative)</t>
        </is>
      </c>
      <c r="F35" s="6" t="inlineStr">
        <is>
          <t>Admin ตั้งค่าปุ่ม redirect ด้วย url="javascript:alert(document.cookie)"</t>
        </is>
      </c>
      <c r="G35" s="6" t="inlineStr">
        <is>
          <t>Popup ID: PN-024</t>
        </is>
      </c>
      <c r="H35" s="6" t="inlineStr">
        <is>
          <t>1. Popup แสดงผลบนหน้าร้าน
2. กดปุ่ม CTA ที่มี URL อันตราย</t>
        </is>
      </c>
      <c r="I35" s="6" t="inlineStr">
        <is>
          <t>ระบบต้องบล็อก ไม่รัน JavaScript ใด ๆ และไม่ navigate ออกจากหน้า (ตามสเปกข้อ 3.4 ชัดเจน)</t>
        </is>
      </c>
      <c r="J35" s="6" t="inlineStr">
        <is>
          <t>FR-POPUP-06</t>
        </is>
      </c>
      <c r="K35" s="6" t="inlineStr">
        <is>
          <t>รันจริง 2026-08-27: ตั้งค่า redirect URL='javascript:alert(document.cookie)' แล้วกดสร้าง → Admin ฝั่ง Server บล็อกตั้งแต่ตอนบันทึก ไม่ยอมสร้างเลย ป้องกันถูกต้อง</t>
        </is>
      </c>
      <c r="L35" s="12" t="inlineStr">
        <is>
          <t>✅ Pass</t>
        </is>
      </c>
      <c r="M35" s="6" t="inlineStr">
        <is>
          <t>Security-critical — ทดสอบทั้งฝั่ง Admin (validation ตอนบันทึก) และฝั่ง Client (runtime guard)</t>
        </is>
      </c>
    </row>
    <row r="36">
      <c r="A36" s="6" t="inlineStr">
        <is>
          <t>TC-BTN-004</t>
        </is>
      </c>
      <c r="B36" s="6" t="inlineStr">
        <is>
          <t>POPUP-BTN</t>
        </is>
      </c>
      <c r="C36" s="6" t="inlineStr">
        <is>
          <t>ปุ่ม redirect ที่ตั้งค่า URL เป็น data: หรือ scheme อื่นที่ไม่ปลอดภัย</t>
        </is>
      </c>
      <c r="D36" s="6" t="inlineStr">
        <is>
          <t>High</t>
        </is>
      </c>
      <c r="E36" s="6" t="inlineStr">
        <is>
          <t>Security (Error Guessing)</t>
        </is>
      </c>
      <c r="F36" s="6" t="inlineStr">
        <is>
          <t>Admin ตั้งค่าปุ่ม redirect ด้วย url="data:text/html,&lt;script&gt;alert(1)&lt;/script&gt;"</t>
        </is>
      </c>
      <c r="G36" s="6" t="inlineStr">
        <is>
          <t>Popup ID: PN-025</t>
        </is>
      </c>
      <c r="H36" s="6" t="inlineStr">
        <is>
          <t>1. Popup แสดงผล
2. กดปุ่ม CTA</t>
        </is>
      </c>
      <c r="I36" s="6" t="inlineStr">
        <is>
          <t>ระบบต้อง sanitize/บล็อก scheme ที่ไม่ใช่ http/https เช่นเดียวกับ javascript: (ขยายจากกฎ 3.4)</t>
        </is>
      </c>
      <c r="J36" s="6" t="inlineStr">
        <is>
          <t>FR-POPUP-06</t>
        </is>
      </c>
      <c r="K36" s="6" t="inlineStr">
        <is>
          <t>❌ รันจริง 2026-08-27: ตั้งค่า redirect URL='data:text/html,&lt;script&gt;alert(1)&lt;/script&gt;' แล้วกดสร้าง → ระบบ**ยอมบันทึกสำเร็จ**! ต่างจาก javascript: ที่ถูกบล็อก แสดงว่า Admin sanitize เฉพาะ javascript: scheme เท่านั้น ไม่ครอบคลุม data: URI ทั้งที่ทั้งคู่เป็นความเสี่ยงแบบเดียวกัน (แม้ Browser สมัยใหม่จะบล็อก top-level navigation ไปยัง data: URL เองอยู่แล้วเป็นเกราะชั้นที่ 2 แต่ฝั่ง Admin ควรกรองให้ครบตั้งแต่ชั้นแรก) ลบข้อมูลทดสอบออกจาก Staging แล้ว</t>
        </is>
      </c>
      <c r="L36" s="13" t="inlineStr">
        <is>
          <t>❌ Fail</t>
        </is>
      </c>
      <c r="M36" s="6" t="inlineStr">
        <is>
          <t>ส่วนขยายของ Error Guessing จากกฎ 'ห้ามรัน JavaScript ใน URL'
🔄 อัปเดต 2026-09-02: พบว่าผลไม่คงที่ — บล็อกได้ 2/2 ครั้งผ่าน Playwright automated suite แต่ยอมสร้างสำเร็จ 4/4 ครั้งผ่าน standalone script (flow เดียวกัน) สาเหตุยังไม่ทราบแน่ชัด ไม่ควรเดาต่อ ต้องให้ Dev ตรวจสอบโดยตรงว่า validation logic ทำงานสม่ำเสมอไหม</t>
        </is>
      </c>
    </row>
    <row r="37">
      <c r="A37" s="6" t="inlineStr">
        <is>
          <t>TC-BTN-005</t>
        </is>
      </c>
      <c r="B37" s="6" t="inlineStr">
        <is>
          <t>POPUP-BTN</t>
        </is>
      </c>
      <c r="C37" s="6" t="inlineStr">
        <is>
          <t>ปุ่มประเภท api_call ยิง Request ไปยัง Endpoint ที่กำหนดสำเร็จ</t>
        </is>
      </c>
      <c r="D37" s="6" t="inlineStr">
        <is>
          <t>High</t>
        </is>
      </c>
      <c r="E37" s="6" t="inlineStr">
        <is>
          <t>Positive</t>
        </is>
      </c>
      <c r="F37" s="6" t="inlineStr">
        <is>
          <t>Popup มีปุ่ม type=api_call, endpoint ที่กำหนดตอบ 200 สำเร็จ (ยืนยันจาก UI จริง: ช่องกรอกมีแค่ 'URL / Endpoint' ช่องเดียว เหมือนกับ redirect ทุกประการ ไม่มีช่องเลือก HTTP Method/Header/Body แยกต่างหาก)</t>
        </is>
      </c>
      <c r="G37" s="6" t="inlineStr">
        <is>
          <t>Popup ID: PN-026</t>
        </is>
      </c>
      <c r="H37" s="6" t="inlineStr">
        <is>
          <t>1. Popup แสดง
2. กดปุ่ม api_call</t>
        </is>
      </c>
      <c r="I37" s="6" t="inlineStr">
        <is>
          <t>เปิด Network tab ตรวจสอบ request ที่ยิงจริงเมื่อกดปุ่ม: ต้องยืนยันว่า Client ยิง HTTP Method อะไร (คาดว่า POST เป็น default เพราะ Admin UI ไม่มีให้เลือก) ไปที่ URL ที่ตั้งไว้ พร้อม payload อะไรบ้าง (เช่น popup_id, employee_id) — และ Modal ควรปิดหรือค้างไว้หลังยิงสำเร็จ (ยังไม่มี UI feedback ระบุไว้ชัด ต้องสังเกตจากพฤติกรรมจริง)</t>
        </is>
      </c>
      <c r="J37" s="6" t="inlineStr">
        <is>
          <t>FR-POPUP-06</t>
        </is>
      </c>
      <c r="K37" s="6" t="inlineStr">
        <is>
          <t>รันจริง 2026-08-27 (explore-client-buttons.ts + -2.ts): กดปุ่ม api_call แล้ว action_taken บันทึกเป็น clicked_button_{id} ถูกต้อง และ Modal ปิดตามปกติ ❌ แต่ตรวจ Network request ด้วย page.on('request') ไม่พบ การยิง request ใดๆ ไปยัง URL ที่ตั้งไว้เลย (https://example.com/qa-api-call-test)</t>
        </is>
      </c>
      <c r="L37" s="13" t="inlineStr">
        <is>
          <t>❌ Fail</t>
        </is>
      </c>
      <c r="M37" s="6" t="inlineStr">
        <is>
          <t>ยืนยันจาก Admin UI จริง (2026-08-27): field เดียวกับ redirect คือ "URL / Endpoint" ไม่มี dropdown Method/Header/Body ในฟอร์ม — ไม่ Blocked แล้ว เปลี่ยนเป็นทดสอบเชิงสังเกตพฤติกรรมจริงแทนการเดา
✅ ทดสอบจริง 2026-08-27: กดปุ่ม api_call (label กำหนดเอง) แล้ว action_taken บันทึกเป็น clicked_button_{id} ถูกต้อง และ Modal ปิดลงทันทีหลังกด (เหมือนปุ่มประเภทอื่นทุกแบบ) ⚠️ แต่ตรวจ Network request ฝั่ง Client ไปยัง URL ที่ตั้งไว้ (https://example.com/qa-api-call-test) แล้ว **ไม่พบ Request ใดๆ ถูกยิงออกไปเลย** — สงสัยว่า Client ไม่ได้ implement การยิง API จริง หรือยิงจากฝั่ง Server แทน (ไม่ผ่าน browser) ต้องตรวจสอบเพิ่มกับทีม Dev — นี่อาจเป็น Critical bug ถ้า Client ควรยิงจริง</t>
        </is>
      </c>
    </row>
    <row r="38">
      <c r="A38" s="6" t="inlineStr">
        <is>
          <t>TC-BTN-006</t>
        </is>
      </c>
      <c r="B38" s="6" t="inlineStr">
        <is>
          <t>POPUP-BTN</t>
        </is>
      </c>
      <c r="C38" s="6" t="inlineStr">
        <is>
          <t>Popup ที่มีหลายปุ่ม กดปุ่มหนึ่งไม่กระทบ Tracking ของปุ่มอื่น</t>
        </is>
      </c>
      <c r="D38" s="6" t="inlineStr">
        <is>
          <t>Medium</t>
        </is>
      </c>
      <c r="E38" s="6" t="inlineStr">
        <is>
          <t>Edge</t>
        </is>
      </c>
      <c r="F38" s="6" t="inlineStr">
        <is>
          <t>Popup มี 2 ปุ่ม: ปุ่ม A (redirect) และปุ่ม B (close)</t>
        </is>
      </c>
      <c r="G38" s="6" t="inlineStr">
        <is>
          <t>Popup ID: PN-027</t>
        </is>
      </c>
      <c r="H38" s="6" t="inlineStr">
        <is>
          <t>1. Popup แสดง
2. กดปุ่ม A</t>
        </is>
      </c>
      <c r="I38" s="6" t="inlineStr">
        <is>
          <t>บันทึกเฉพาะ action_taken='clicked_button_A' เท่านั้น ไม่มี record ปลอมของปุ่ม B ถูกสร้างขึ้น</t>
        </is>
      </c>
      <c r="J38" s="6" t="inlineStr">
        <is>
          <t>FR-POPUP-06</t>
        </is>
      </c>
      <c r="K38" s="6" t="inlineStr"/>
      <c r="L38" s="9" t="inlineStr">
        <is>
          <t>⬜ Not Run</t>
        </is>
      </c>
      <c r="M38" s="6" t="inlineStr"/>
    </row>
    <row r="39">
      <c r="A39" s="6" t="inlineStr">
        <is>
          <t>TC-TRACK-001</t>
        </is>
      </c>
      <c r="B39" s="6" t="inlineStr">
        <is>
          <t>POPUP-TRACKING</t>
        </is>
      </c>
      <c r="C39" s="6" t="inlineStr">
        <is>
          <t>Popup แสดงผลแล้วยิง action_taken='viewed' อัตโนมัติโดยไม่ต้องกดอะไร</t>
        </is>
      </c>
      <c r="D39" s="8" t="inlineStr">
        <is>
          <t>Critical</t>
        </is>
      </c>
      <c r="E39" s="6" t="inlineStr">
        <is>
          <t>Positive</t>
        </is>
      </c>
      <c r="F39" s="6" t="inlineStr">
        <is>
          <t>Popup แสดงผลสำเร็จบนหน้าจอ</t>
        </is>
      </c>
      <c r="G39" s="6" t="inlineStr">
        <is>
          <t>Popup ID: PN-028</t>
        </is>
      </c>
      <c r="H39" s="6" t="inlineStr">
        <is>
          <t>1. Popup แสดงผล (mount)
2. ตรวจสอบ Network log / Admin report ทันที</t>
        </is>
      </c>
      <c r="I39" s="6" t="inlineStr">
        <is>
          <t>action_taken='viewed' ถูกยิงอัตโนมัติ 1 ครั้งโดยไม่ต้อง interact ใด ๆ</t>
        </is>
      </c>
      <c r="J39" s="6" t="inlineStr">
        <is>
          <t>FR-POPUP-07</t>
        </is>
      </c>
      <c r="K39" s="6" t="inlineStr"/>
      <c r="L39" s="9" t="inlineStr">
        <is>
          <t>⬜ Not Run</t>
        </is>
      </c>
      <c r="M39" s="6" t="inlineStr"/>
    </row>
    <row r="40">
      <c r="A40" s="6" t="inlineStr">
        <is>
          <t>TC-TRACK-002</t>
        </is>
      </c>
      <c r="B40" s="6" t="inlineStr">
        <is>
          <t>POPUP-TRACKING</t>
        </is>
      </c>
      <c r="C40" s="6" t="inlineStr">
        <is>
          <t>Debounce 10 นาที: mount ซ้ำภายใน 10 นาทีไม่ยิง viewed ซ้ำ</t>
        </is>
      </c>
      <c r="D40" s="6" t="inlineStr">
        <is>
          <t>High</t>
        </is>
      </c>
      <c r="E40" s="6" t="inlineStr">
        <is>
          <t>Negative (State)</t>
        </is>
      </c>
      <c r="F40" s="6" t="inlineStr">
        <is>
          <t>Popup แสดงผลแล้ว (viewed ถูกบันทึกไปแล้วครั้งหนึ่ง) ยังอยู่ใน session เดิม</t>
        </is>
      </c>
      <c r="G40" s="6" t="inlineStr">
        <is>
          <t>Popup ID: PN-028</t>
        </is>
      </c>
      <c r="H40" s="6" t="inlineStr">
        <is>
          <t>1. Popup mount ครั้งแรก → viewed ถูกยิง
2. เปลี่ยนหน้าแล้วกลับมาหน้าเดิม (component remount) ภายใน 5 นาที</t>
        </is>
      </c>
      <c r="I40" s="6" t="inlineStr">
        <is>
          <t>action_taken='viewed' ไม่ถูกยิงซ้ำภายในหน้าต่าง debounce 10 นาที</t>
        </is>
      </c>
      <c r="J40" s="6" t="inlineStr">
        <is>
          <t>FR-POPUP-07</t>
        </is>
      </c>
      <c r="K40" s="6" t="inlineStr"/>
      <c r="L40" s="9" t="inlineStr">
        <is>
          <t>⬜ Not Run</t>
        </is>
      </c>
      <c r="M40" s="6" t="inlineStr">
        <is>
          <t>🔎 Selector จริง: Modal ของ Popup Notification คือ .popup-notification-modal-custom, เนื้อหา HTML อยู่ใน .popup-html-content — ยืนยันจาก Staging 2026-08-27 (ดู qa-context.md)</t>
        </is>
      </c>
    </row>
    <row r="41">
      <c r="A41" s="6" t="inlineStr">
        <is>
          <t>TC-TRACK-003</t>
        </is>
      </c>
      <c r="B41" s="6" t="inlineStr">
        <is>
          <t>POPUP-TRACKING</t>
        </is>
      </c>
      <c r="C41" s="6" t="inlineStr">
        <is>
          <t>ขอบเขต Debounce ที่ 9:59 กับ 10:01 นาที</t>
        </is>
      </c>
      <c r="D41" s="6" t="inlineStr">
        <is>
          <t>Medium</t>
        </is>
      </c>
      <c r="E41" s="6" t="inlineStr">
        <is>
          <t>Edge (BVA)</t>
        </is>
      </c>
      <c r="F41" s="6" t="inlineStr">
        <is>
          <t>Popup viewed ไปแล้วเมื่อ T0</t>
        </is>
      </c>
      <c r="G41" s="6" t="inlineStr">
        <is>
          <t>Popup ID: PN-028</t>
        </is>
      </c>
      <c r="H41" s="6" t="inlineStr">
        <is>
          <t>1. Remount ที่ T0+9m59s → ตรวจว่าไม่ยิงซ้ำ
2. Remount ที่ T0+10m01s → ตรวจว่ายิงซ้ำได้ (พ้นหน้าต่าง debounce ทางเทคนิค)</t>
        </is>
      </c>
      <c r="I41" s="6" t="inlineStr">
        <is>
          <t>ไม่ยิงซ้ำก่อนครบ 10 นาที, ยิงซ้ำได้ทันทีที่พ้น 10 นาที (debounce ทางเทคนิค แยกจากกฎ Frequency ทางธุรกิจ)</t>
        </is>
      </c>
      <c r="J41" s="6" t="inlineStr">
        <is>
          <t>FR-POPUP-07</t>
        </is>
      </c>
      <c r="K41" s="6" t="inlineStr"/>
      <c r="L41" s="9" t="inlineStr">
        <is>
          <t>⬜ Not Run</t>
        </is>
      </c>
      <c r="M41" s="6" t="inlineStr">
        <is>
          <t>ต้องแยกให้ชัดว่า Debounce technical ≠ Frequency business rule ทั้งสองต้องทำงานถูกต้องพร้อมกัน</t>
        </is>
      </c>
    </row>
    <row r="42">
      <c r="A42" s="6" t="inlineStr">
        <is>
          <t>TC-TRACK-004</t>
        </is>
      </c>
      <c r="B42" s="6" t="inlineStr">
        <is>
          <t>POPUP-TRACKING</t>
        </is>
      </c>
      <c r="C42" s="6" t="inlineStr">
        <is>
          <t>Tracking API ล้มเหลว/network error ต้องไม่บล็อกหรือทำให้ระบบหน้าร้านล่ม</t>
        </is>
      </c>
      <c r="D42" s="6" t="inlineStr">
        <is>
          <t>High</t>
        </is>
      </c>
      <c r="E42" s="6" t="inlineStr">
        <is>
          <t>Exception</t>
        </is>
      </c>
      <c r="F42" s="6" t="inlineStr">
        <is>
          <t>จำลอง Tracking API endpoint down/timeout</t>
        </is>
      </c>
      <c r="G42" s="6" t="inlineStr">
        <is>
          <t>Popup ID: PN-028 | Mock tracking endpoint ให้ error 500/timeout</t>
        </is>
      </c>
      <c r="H42" s="6" t="inlineStr">
        <is>
          <t>1. Popup แสดงผล
2. Tracking API (viewed) ล้มเหลว</t>
        </is>
      </c>
      <c r="I42" s="6" t="inlineStr">
        <is>
          <t>Modal ยังคงแสดงและใช้งานได้ตามปกติ ไม่มี error แสดงให้พนักงานเห็น ไม่กระทบการขายของ POS-v2/Web-App</t>
        </is>
      </c>
      <c r="J42" s="6" t="inlineStr">
        <is>
          <t>FR-POPUP-09</t>
        </is>
      </c>
      <c r="K42" s="6" t="inlineStr">
        <is>
          <t>รันจริง 2026-08-27: Block Tracking API ด้วย route interception → Popup ยังแสดงผลได้ปกติ หน้า POS-v2 ยัง responsive ไม่ค้าง ไม่ crash ตรงตามสถาปัตยกรรมที่ระบุ (ไม่บล็อกหน้าร้าน)</t>
        </is>
      </c>
      <c r="L42" s="12" t="inlineStr">
        <is>
          <t>✅ Pass</t>
        </is>
      </c>
      <c r="M42" s="6" t="inlineStr">
        <is>
          <t>สอดคล้องหมายเหตุสถาปัตยกรรม 'ไม่ทำให้ระบบหน้าร้านกระตุก'</t>
        </is>
      </c>
    </row>
    <row r="43">
      <c r="A43" s="6" t="inlineStr">
        <is>
          <t>TC-TRACK-005</t>
        </is>
      </c>
      <c r="B43" s="6" t="inlineStr">
        <is>
          <t>POPUP-TRACKING</t>
        </is>
      </c>
      <c r="C43" s="6" t="inlineStr">
        <is>
          <t>กดปุ่มปิดรัว ๆ (double-click) ไม่ทำให้ยิง dismissed ซ้ำหลายครั้ง</t>
        </is>
      </c>
      <c r="D43" s="6" t="inlineStr">
        <is>
          <t>Medium</t>
        </is>
      </c>
      <c r="E43" s="6" t="inlineStr">
        <is>
          <t>Error Guessing</t>
        </is>
      </c>
      <c r="F43" s="6" t="inlineStr">
        <is>
          <t>Popup แสดงผลอยู่</t>
        </is>
      </c>
      <c r="G43" s="6" t="inlineStr">
        <is>
          <t>Popup ID: PN-022</t>
        </is>
      </c>
      <c r="H43" s="6" t="inlineStr">
        <is>
          <t>1. กดปุ่มปิด (close) ติดกันเร็ว ๆ 5 ครั้ง</t>
        </is>
      </c>
      <c r="I43" s="6" t="inlineStr">
        <is>
          <t>บันทึก action_taken='dismissed' เพียง 1 ครั้ง ไม่มี record ซ้ำ</t>
        </is>
      </c>
      <c r="J43" s="6" t="inlineStr">
        <is>
          <t>FR-POPUP-07</t>
        </is>
      </c>
      <c r="K43" s="6" t="inlineStr"/>
      <c r="L43" s="9" t="inlineStr">
        <is>
          <t>⬜ Not Run</t>
        </is>
      </c>
      <c r="M43" s="6" t="inlineStr"/>
    </row>
    <row r="44">
      <c r="A44" s="6" t="inlineStr">
        <is>
          <t>TC-ADMIN-001</t>
        </is>
      </c>
      <c r="B44" s="6" t="inlineStr">
        <is>
          <t>POPUP-ADMIN</t>
        </is>
      </c>
      <c r="C44" s="6" t="inlineStr">
        <is>
          <t>สร้างแคมเปญใหม่ผ่าน Web-Admin ครบทุกฟิลด์ที่จำเป็น</t>
        </is>
      </c>
      <c r="D44" s="8" t="inlineStr">
        <is>
          <t>Critical</t>
        </is>
      </c>
      <c r="E44" s="6" t="inlineStr">
        <is>
          <t>Positive</t>
        </is>
      </c>
      <c r="F44" s="6" t="inlineStr">
        <is>
          <t>Login เป็น Admin สำเร็จ</t>
        </is>
      </c>
      <c r="G44" s="6" t="inlineStr">
        <is>
          <t>HTML content, ขนาด (size), start/end date, platform, scope, frequency, ปุ่ม Action อย่างน้อย 1 ปุ่ม</t>
        </is>
      </c>
      <c r="H44" s="6" t="inlineStr">
        <is>
          <t>1. เปิดหน้า Web-Admin &gt; Popup Notification &gt; สร้างใหม่
2. กรอกข้อมูลครบทุกฟิลด์ที่จำเป็น
3. กด บันทึก</t>
        </is>
      </c>
      <c r="I44" s="6" t="inlineStr">
        <is>
          <t>บันทึกสำเร็จ (201), Popup ปรากฏในตารางรายการ พร้อมข้อมูลตรงกับที่กรอก</t>
        </is>
      </c>
      <c r="J44" s="6" t="inlineStr">
        <is>
          <t>FR-POPUP-01</t>
        </is>
      </c>
      <c r="K44" s="6" t="inlineStr">
        <is>
          <t>รันผ่าน Playwright (popup-admin-crud.spec.ts) 2026-08-27: สร้างแคมเปญสำเร็จ ปรากฏในตาราง List ถูกต้อง</t>
        </is>
      </c>
      <c r="L44" s="12" t="inlineStr">
        <is>
          <t>✅ Pass</t>
        </is>
      </c>
      <c r="M44" s="6" t="inlineStr">
        <is>
          <t>ตรงกับ Checklist ผู้ใช้ข้อ 1 (ส่วนบันทึกสำเร็จ+แสดงในตาราง)</t>
        </is>
      </c>
    </row>
    <row r="45">
      <c r="A45" s="6" t="inlineStr">
        <is>
          <t>TC-ADMIN-001B</t>
        </is>
      </c>
      <c r="B45" s="6" t="inlineStr">
        <is>
          <t>POPUP-ADMIN</t>
        </is>
      </c>
      <c r="C45" s="6" t="inlineStr">
        <is>
          <t>Live Preview แสดงตัวอย่างตรงกับเนื้อหาที่กรอกจริง</t>
        </is>
      </c>
      <c r="D45" s="6" t="inlineStr">
        <is>
          <t>High</t>
        </is>
      </c>
      <c r="E45" s="6" t="inlineStr">
        <is>
          <t>Positive (WYSIWYG)</t>
        </is>
      </c>
      <c r="F45" s="6" t="inlineStr">
        <is>
          <t>อยู่ระหว่างสร้าง/แก้ไขแคมเปญใน Web-Admin</t>
        </is>
      </c>
      <c r="G45" s="6" t="inlineStr">
        <is>
          <t>HTML content ที่มีทั้งข้อความ, รูปภาพ, ปุ่ม</t>
        </is>
      </c>
      <c r="H45" s="6" t="inlineStr">
        <is>
          <t>1. กรอก HTML content และตั้งค่าขนาด
2. กดปุ่ม Live Preview</t>
        </is>
      </c>
      <c r="I45" s="6" t="inlineStr">
        <is>
          <t>หน้าต่าง Preview แสดงผลตรงกับ HTML/ขนาด/ปุ่มที่กรอกจริง 1:1 ไม่มีความคลาดเคลื่อน (WYSIWYG)</t>
        </is>
      </c>
      <c r="J45" s="6" t="inlineStr">
        <is>
          <t>FR-POPUP-01</t>
        </is>
      </c>
      <c r="K45" s="6" t="inlineStr"/>
      <c r="L45" s="9" t="inlineStr">
        <is>
          <t>⬜ Not Run</t>
        </is>
      </c>
      <c r="M45" s="6" t="inlineStr">
        <is>
          <t>ตรงกับ Checklist ผู้ใช้ข้อ 1 (ส่วน Live Preview)</t>
        </is>
      </c>
    </row>
    <row r="46">
      <c r="A46" s="6" t="inlineStr">
        <is>
          <t>TC-ADMIN-002</t>
        </is>
      </c>
      <c r="B46" s="6" t="inlineStr">
        <is>
          <t>POPUP-ADMIN</t>
        </is>
      </c>
      <c r="C46" s="6" t="inlineStr">
        <is>
          <t>สร้างแคมเปญโดยขาดฟิลด์บังคับ (platform) ต้องถูก validate</t>
        </is>
      </c>
      <c r="D46" s="6" t="inlineStr">
        <is>
          <t>High</t>
        </is>
      </c>
      <c r="E46" s="6" t="inlineStr">
        <is>
          <t>Negative (EP)</t>
        </is>
      </c>
      <c r="F46" s="6" t="inlineStr">
        <is>
          <t>Login เป็น Admin</t>
        </is>
      </c>
      <c r="G46" s="6" t="inlineStr">
        <is>
          <t>กรอกข้อมูลครบยกเว้น platform</t>
        </is>
      </c>
      <c r="H46" s="6" t="inlineStr">
        <is>
          <t>1. กรอกข้อมูลโดยไม่เลือก Platform
2. กด บันทึก</t>
        </is>
      </c>
      <c r="I46" s="6" t="inlineStr">
        <is>
          <t>ระบบไม่บันทึก คืน 400 พร้อมข้อความแจ้งว่าต้องเลือก Platform</t>
        </is>
      </c>
      <c r="J46" s="6" t="inlineStr">
        <is>
          <t>FR-POPUP-01</t>
        </is>
      </c>
      <c r="K46" s="6" t="inlineStr">
        <is>
          <t>รันจริง 2026-08-27: ไม่เลือก Platform เลยแล้วกดสร้าง → ระบบไม่ยอมสร้าง ยังอยู่หน้า create (แต่ไม่พบข้อความ validation ที่ชัดเจนบอกสาเหตุ — UX ควรปรับปรุงให้บอกชัดกว่านี้)</t>
        </is>
      </c>
      <c r="L46" s="12" t="inlineStr">
        <is>
          <t>✅ Pass</t>
        </is>
      </c>
      <c r="M46" s="6" t="inlineStr"/>
    </row>
    <row r="47">
      <c r="A47" s="6" t="inlineStr">
        <is>
          <t>TC-ADMIN-003</t>
        </is>
      </c>
      <c r="B47" s="6" t="inlineStr">
        <is>
          <t>POPUP-ADMIN</t>
        </is>
      </c>
      <c r="C47" s="6" t="inlineStr">
        <is>
          <t>สร้างแคมเปญโดย end_date เร็วกว่า start_date</t>
        </is>
      </c>
      <c r="D47" s="6" t="inlineStr">
        <is>
          <t>High</t>
        </is>
      </c>
      <c r="E47" s="6" t="inlineStr">
        <is>
          <t>Negative (Multi-dim BVA)</t>
        </is>
      </c>
      <c r="F47" s="6" t="inlineStr">
        <is>
          <t>Login เป็น Admin</t>
        </is>
      </c>
      <c r="G47" s="6" t="inlineStr">
        <is>
          <t>start_date = 10/09/2026, end_date = 05/09/2026 (ก่อนหน้า start_date)</t>
        </is>
      </c>
      <c r="H47" s="6" t="inlineStr">
        <is>
          <t>1. กรอกฟอร์มด้วยวันที่ผิดลำดับ
2. กด บันทึก</t>
        </is>
      </c>
      <c r="I47" s="6" t="inlineStr">
        <is>
          <t>ระบบไม่บันทึก คืน 400 พร้อมข้อความแจ้งว่า end_date ต้องไม่ก่อน start_date</t>
        </is>
      </c>
      <c r="J47" s="6" t="inlineStr">
        <is>
          <t>FR-POPUP-01</t>
        </is>
      </c>
      <c r="K47" s="6" t="inlineStr">
        <is>
          <t>รันจริง 2026-08-27: ตั้ง end_date ก่อน start_date แล้วกดสร้าง → ระบบไม่ยอมสร้าง ป้องกันถูกต้อง</t>
        </is>
      </c>
      <c r="L47" s="12" t="inlineStr">
        <is>
          <t>✅ Pass</t>
        </is>
      </c>
      <c r="M47" s="6" t="inlineStr"/>
    </row>
    <row r="48">
      <c r="A48" s="6" t="inlineStr">
        <is>
          <t>TC-ADMIN-004</t>
        </is>
      </c>
      <c r="B48" s="6" t="inlineStr">
        <is>
          <t>POPUP-ADMIN</t>
        </is>
      </c>
      <c r="C48" s="6" t="inlineStr">
        <is>
          <t>สร้างแคมเปญด้วยค่า platform ที่ไม่มีในระบบ (ผ่าน API ตรง)</t>
        </is>
      </c>
      <c r="D48" s="6" t="inlineStr">
        <is>
          <t>Medium</t>
        </is>
      </c>
      <c r="E48" s="6" t="inlineStr">
        <is>
          <t>Negative (EP)</t>
        </is>
      </c>
      <c r="F48" s="6" t="inlineStr">
        <is>
          <t>มี Bearer token ของ Admin</t>
        </is>
      </c>
      <c r="G48" s="6" t="inlineStr">
        <is>
          <t>POST body: platform=["mobile-app"]</t>
        </is>
      </c>
      <c r="H48" s="6" t="inlineStr">
        <is>
          <t>1. ยิง POST /api/v2/admin/popup-notifications ด้วย platform ที่ไม่รู้จัก</t>
        </is>
      </c>
      <c r="I48" s="6" t="inlineStr">
        <is>
          <t>คืน 400 พร้อมข้อความ validation enum</t>
        </is>
      </c>
      <c r="J48" s="6" t="inlineStr">
        <is>
          <t>FR-POPUP-01</t>
        </is>
      </c>
      <c r="K48" s="6" t="inlineStr"/>
      <c r="L48" s="9" t="inlineStr">
        <is>
          <t>⬜ Not Run</t>
        </is>
      </c>
      <c r="M48" s="6" t="inlineStr">
        <is>
          <t>ทดสอบผ่าน API ตรง ไม่ผ่าน UI dropdown เพื่อกัน client-side validation บัง server-side</t>
        </is>
      </c>
    </row>
    <row r="49">
      <c r="A49" s="6" t="inlineStr">
        <is>
          <t>TC-ADMIN-005</t>
        </is>
      </c>
      <c r="B49" s="6" t="inlineStr">
        <is>
          <t>POPUP-ADMIN</t>
        </is>
      </c>
      <c r="C49" s="6" t="inlineStr">
        <is>
          <t>สร้างแคมเปญด้วยค่า frequency ที่ไม่มีในระบบ (ผ่าน API ตรง)</t>
        </is>
      </c>
      <c r="D49" s="6" t="inlineStr">
        <is>
          <t>Medium</t>
        </is>
      </c>
      <c r="E49" s="6" t="inlineStr">
        <is>
          <t>Negative (EP)</t>
        </is>
      </c>
      <c r="F49" s="6" t="inlineStr">
        <is>
          <t>มี Bearer token ของ Admin</t>
        </is>
      </c>
      <c r="G49" s="6" t="inlineStr">
        <is>
          <t>POST body: frequency="hourly" (ไม่มีในสเปก)</t>
        </is>
      </c>
      <c r="H49" s="6" t="inlineStr">
        <is>
          <t>1. ยิง POST ด้วย frequency ที่ไม่รู้จัก</t>
        </is>
      </c>
      <c r="I49" s="6" t="inlineStr">
        <is>
          <t>คืน 400 พร้อมข้อความ validation enum (ต้องเป็น once/daily/weekly/monthly เท่านั้น)</t>
        </is>
      </c>
      <c r="J49" s="6" t="inlineStr">
        <is>
          <t>FR-POPUP-01</t>
        </is>
      </c>
      <c r="K49" s="6" t="inlineStr"/>
      <c r="L49" s="9" t="inlineStr">
        <is>
          <t>⬜ Not Run</t>
        </is>
      </c>
      <c r="M49" s="6" t="inlineStr"/>
    </row>
    <row r="50">
      <c r="A50" s="6" t="inlineStr">
        <is>
          <t>TC-ADMIN-006</t>
        </is>
      </c>
      <c r="B50" s="6" t="inlineStr">
        <is>
          <t>POPUP-ADMIN</t>
        </is>
      </c>
      <c r="C50" s="6" t="inlineStr">
        <is>
          <t>แก้ไขแคมเปญที่มีอยู่ ข้อมูลอัปเดตสะท้อนผลทันที</t>
        </is>
      </c>
      <c r="D50" s="6" t="inlineStr">
        <is>
          <t>High</t>
        </is>
      </c>
      <c r="E50" s="6" t="inlineStr">
        <is>
          <t>Positive</t>
        </is>
      </c>
      <c r="F50" s="6" t="inlineStr">
        <is>
          <t>มีแคมเปญ PN-029 อยู่แล้วในระบบ</t>
        </is>
      </c>
      <c r="G50" s="6" t="inlineStr">
        <is>
          <t>แก้ไข HTML content และ end_date</t>
        </is>
      </c>
      <c r="H50" s="6" t="inlineStr">
        <is>
          <t>1. เปิดแคมเปญ PN-029 ในโหมดแก้ไข
2. เปลี่ยนเนื้อหาและวันที่สิ้นสุด
3. บันทึก</t>
        </is>
      </c>
      <c r="I50" s="6" t="inlineStr">
        <is>
          <t>บันทึกสำเร็จ (200), GET รายละเอียดคืนค่าที่อัปเดตแล้ว และ Client Active API สะท้อนข้อมูลใหม่ในการเรียกครั้งถัดไป</t>
        </is>
      </c>
      <c r="J50" s="6" t="inlineStr">
        <is>
          <t>FR-POPUP-01</t>
        </is>
      </c>
      <c r="K50" s="6" t="inlineStr">
        <is>
          <t>รันจริง 2026-08-27: แก้ไขชื่อแคมเปญผ่านหน้า Edit แล้วบันทึก → หน้า List แสดงชื่อใหม่ถูกต้องทันที</t>
        </is>
      </c>
      <c r="L50" s="12" t="inlineStr">
        <is>
          <t>✅ Pass</t>
        </is>
      </c>
      <c r="M50" s="6" t="inlineStr"/>
    </row>
    <row r="51">
      <c r="A51" s="6" t="inlineStr">
        <is>
          <t>TC-ADMIN-007</t>
        </is>
      </c>
      <c r="B51" s="6" t="inlineStr">
        <is>
          <t>POPUP-ADMIN</t>
        </is>
      </c>
      <c r="C51" s="6" t="inlineStr">
        <is>
          <t>Toggle สถานะ Active → Inactive หน้าร้านต้องไม่แสดงผลทันที</t>
        </is>
      </c>
      <c r="D51" s="8" t="inlineStr">
        <is>
          <t>Critical</t>
        </is>
      </c>
      <c r="E51" s="6" t="inlineStr">
        <is>
          <t>Negative (Real-time)</t>
        </is>
      </c>
      <c r="F51" s="6" t="inlineStr">
        <is>
          <t>แคมเปญ PN-030 status=active และกำลังเข้าเงื่อนไขแสดงผลอยู่ (ผ่าน TC-DISPLAY-001)</t>
        </is>
      </c>
      <c r="G51" s="6" t="inlineStr">
        <is>
          <t>Popup ID: PN-030</t>
        </is>
      </c>
      <c r="H51" s="6" t="inlineStr">
        <is>
          <t>1. ยืนยันว่า PN-030 แสดงผลบนหน้าร้านอยู่ก่อน (baseline)
2. ใน Web-Admin กด Toggle เปลี่ยนเป็น Inactive
3. เรียก Client Active API / Login พนักงานใหม่ทันที</t>
        </is>
      </c>
      <c r="I51" s="6" t="inlineStr">
        <is>
          <t>เปลี่ยนสถานะสำเร็จผ่านหน้า Edit (ไม่มี quick-toggle บนหน้า List — เป็น field แค่ &lt;span&gt; แสดงผลเฉยๆ) สถานะในตาราง List อัปเดตถูกต้องหลัง save</t>
        </is>
      </c>
      <c r="J51" s="6" t="inlineStr">
        <is>
          <t>FR-POPUP-01</t>
        </is>
      </c>
      <c r="K51" s="6" t="inlineStr">
        <is>
          <t>รันผ่าน Playwright (popup-admin-crud.spec.ts) 2026-08-27: Toggle ผ่านหน้า Edit สำเร็จ สถานะเปลี่ยนถูกต้อง (ยืนยันด้วยว่าหน้า List เองไม่มีปุ่ม toggle ตรง ต้องผ่าน Edit เท่านั้น)</t>
        </is>
      </c>
      <c r="L51" s="12" t="inlineStr">
        <is>
          <t>✅ Pass</t>
        </is>
      </c>
      <c r="M51" s="6" t="inlineStr">
        <is>
          <t>ตรงกับ Checklist ผู้ใช้ข้อ 2 — เน้นย้ำว่าต้อง 'ทันที' ไม่ใช่แค่ status field เปลี่ยนใน DB</t>
        </is>
      </c>
    </row>
    <row r="52">
      <c r="A52" s="6" t="inlineStr">
        <is>
          <t>TC-ADMIN-008</t>
        </is>
      </c>
      <c r="B52" s="6" t="inlineStr">
        <is>
          <t>POPUP-ADMIN</t>
        </is>
      </c>
      <c r="C52" s="6" t="inlineStr">
        <is>
          <t>ลบแคมเปญ ทำให้หายจาก Client Active API ทันที</t>
        </is>
      </c>
      <c r="D52" s="6" t="inlineStr">
        <is>
          <t>High</t>
        </is>
      </c>
      <c r="E52" s="6" t="inlineStr">
        <is>
          <t>Positive</t>
        </is>
      </c>
      <c r="F52" s="6" t="inlineStr">
        <is>
          <t>แคมเปญ PN-031 มีอยู่และกำลังแสดงผลอยู่</t>
        </is>
      </c>
      <c r="G52" s="6" t="inlineStr">
        <is>
          <t>Popup ID: PN-031</t>
        </is>
      </c>
      <c r="H52" s="6" t="inlineStr">
        <is>
          <t>1. ใน Web-Admin กดลบ PN-031
2. ยืนยันการลบ
3. เรียก Client Active API อีกครั้ง</t>
        </is>
      </c>
      <c r="I52" s="6" t="inlineStr">
        <is>
          <t>PN-031 ถูกลบออกจากตาราง และ Client Active API ไม่คืนค่านี้อีก</t>
        </is>
      </c>
      <c r="J52" s="6" t="inlineStr">
        <is>
          <t>FR-POPUP-01</t>
        </is>
      </c>
      <c r="K52" s="6" t="inlineStr">
        <is>
          <t>รันผ่าน Playwright (popup-admin-crud.spec.ts) 2026-08-27: ลบสำเร็จ แถวหายจากตาราง List ทันที</t>
        </is>
      </c>
      <c r="L52" s="12" t="inlineStr">
        <is>
          <t>✅ Pass</t>
        </is>
      </c>
      <c r="M52" s="6" t="inlineStr"/>
    </row>
    <row r="53">
      <c r="A53" s="6" t="inlineStr">
        <is>
          <t>TC-ADMIN-009</t>
        </is>
      </c>
      <c r="B53" s="6" t="inlineStr">
        <is>
          <t>POPUP-ADMIN</t>
        </is>
      </c>
      <c r="C53" s="6" t="inlineStr">
        <is>
          <t>เรียก Admin API โดยไม่มี Token ต้องถูกปฏิเสธ</t>
        </is>
      </c>
      <c r="D53" s="8" t="inlineStr">
        <is>
          <t>Critical</t>
        </is>
      </c>
      <c r="E53" s="6" t="inlineStr">
        <is>
          <t>Security (Negative)</t>
        </is>
      </c>
      <c r="F53" s="6" t="inlineStr">
        <is>
          <t>ไม่มี Authorization header</t>
        </is>
      </c>
      <c r="G53" s="6" t="inlineStr">
        <is>
          <t>GET/POST/PUT/DELETE /api/v2/admin/popup-notifications</t>
        </is>
      </c>
      <c r="H53" s="6" t="inlineStr">
        <is>
          <t>1. ยิงแต่ละ method โดยไม่แนบ Bearer token</t>
        </is>
      </c>
      <c r="I53" s="6" t="inlineStr">
        <is>
          <t>ทุก method คืน 401 Unauthorized</t>
        </is>
      </c>
      <c r="J53" s="6" t="inlineStr">
        <is>
          <t>FR-POPUP-01</t>
        </is>
      </c>
      <c r="K53" s="6" t="inlineStr"/>
      <c r="L53" s="9" t="inlineStr">
        <is>
          <t>⬜ Not Run</t>
        </is>
      </c>
      <c r="M53" s="6" t="inlineStr">
        <is>
          <t>ทดสอบผ่าน API ตรงตามกฎ PART 10 (สิทธิ์ต้องกันที่ Backend ไม่ใช่แค่ซ่อนเมนู)</t>
        </is>
      </c>
    </row>
    <row r="54">
      <c r="A54" s="6" t="inlineStr">
        <is>
          <t>TC-ADMIN-010</t>
        </is>
      </c>
      <c r="B54" s="6" t="inlineStr">
        <is>
          <t>POPUP-ADMIN</t>
        </is>
      </c>
      <c r="C54" s="6" t="inlineStr">
        <is>
          <t>เรียก Admin API ด้วย Token ของ Role พนักงานทั่วไป (ไม่ใช่ Admin)</t>
        </is>
      </c>
      <c r="D54" s="8" t="inlineStr">
        <is>
          <t>Critical</t>
        </is>
      </c>
      <c r="E54" s="6" t="inlineStr">
        <is>
          <t>Security (Negative/IDOR)</t>
        </is>
      </c>
      <c r="F54" s="6" t="inlineStr">
        <is>
          <t>มี Bearer token ของ Staff ปกติ (ไม่มีสิทธิ์ Admin)</t>
        </is>
      </c>
      <c r="G54" s="6" t="inlineStr">
        <is>
          <t>Token role=staff</t>
        </is>
      </c>
      <c r="H54" s="6" t="inlineStr">
        <is>
          <t>1. ยิง POST /api/v2/admin/popup-notifications ด้วย token ของ Staff</t>
        </is>
      </c>
      <c r="I54" s="6" t="inlineStr">
        <is>
          <t>คืน 403 Forbidden และไม่มีการสร้าง record ใหม่ในระบบ</t>
        </is>
      </c>
      <c r="J54" s="6" t="inlineStr">
        <is>
          <t>FR-POPUP-01</t>
        </is>
      </c>
      <c r="K54" s="6" t="inlineStr"/>
      <c r="L54" s="9" t="inlineStr">
        <is>
          <t>⬜ Not Run</t>
        </is>
      </c>
      <c r="M54" s="6" t="inlineStr">
        <is>
          <t>Critical — ป้องกันพนักงานทั่วไปสร้าง Popup ปลอมกระจายไปทุกสาขา</t>
        </is>
      </c>
    </row>
    <row r="55">
      <c r="A55" s="6" t="inlineStr">
        <is>
          <t>TC-RPT-001</t>
        </is>
      </c>
      <c r="B55" s="6" t="inlineStr">
        <is>
          <t>POPUP-RPT</t>
        </is>
      </c>
      <c r="C55" s="6" t="inlineStr">
        <is>
          <t>เรียก Interactions API ของ Popup ที่ยังไม่มีใครโต้ตอบ</t>
        </is>
      </c>
      <c r="D55" s="6" t="inlineStr">
        <is>
          <t>High</t>
        </is>
      </c>
      <c r="E55" s="6" t="inlineStr">
        <is>
          <t>Positive (Empty state)</t>
        </is>
      </c>
      <c r="F55" s="6" t="inlineStr">
        <is>
          <t>Popup PN-032 เพิ่งสร้าง ยังไม่มี interaction ใด ๆ</t>
        </is>
      </c>
      <c r="G55" s="6" t="inlineStr">
        <is>
          <t>Popup ID: PN-032</t>
        </is>
      </c>
      <c r="H55" s="6" t="inlineStr">
        <is>
          <t>1. GET /popup-notifications/PN-032/interactions</t>
        </is>
      </c>
      <c r="I55" s="6" t="inlineStr">
        <is>
          <t>คืน 200 พร้อม array ว่าง ([]) ไม่ใช่ error</t>
        </is>
      </c>
      <c r="J55" s="6" t="inlineStr">
        <is>
          <t>FR-POPUP-08</t>
        </is>
      </c>
      <c r="K55" s="6" t="inlineStr">
        <is>
          <t>รันจริง 2026-08-27: สร้าง Popup ที่ start_date เป็นอนาคต (ยังไม่มีใครเห็นแน่นอน) → เปิดหน้า Detail บน Admin ได้ปกติ ไม่ error, ยอด View=0 ถูกต้อง (ไม่ใช่ error หรือค่า null)</t>
        </is>
      </c>
      <c r="L55" s="12" t="inlineStr">
        <is>
          <t>✅ Pass</t>
        </is>
      </c>
      <c r="M55" s="6" t="inlineStr"/>
    </row>
    <row r="56">
      <c r="A56" s="6" t="inlineStr">
        <is>
          <t>TC-RPT-002</t>
        </is>
      </c>
      <c r="B56" s="6" t="inlineStr">
        <is>
          <t>POPUP-RPT</t>
        </is>
      </c>
      <c r="C56" s="6" t="inlineStr">
        <is>
          <t>เรียก Interactions API ด้วย Popup ID ที่ไม่มีอยู่จริง</t>
        </is>
      </c>
      <c r="D56" s="6" t="inlineStr">
        <is>
          <t>High</t>
        </is>
      </c>
      <c r="E56" s="6" t="inlineStr">
        <is>
          <t>Negative</t>
        </is>
      </c>
      <c r="F56" s="6" t="inlineStr">
        <is>
          <t>ไม่มี Popup ID นี้ในระบบ</t>
        </is>
      </c>
      <c r="G56" s="6" t="inlineStr">
        <is>
          <t>Popup ID: PN-99999 (ไม่มีจริง)</t>
        </is>
      </c>
      <c r="H56" s="6" t="inlineStr">
        <is>
          <t>1. GET /popup-notifications/PN-99999/interactions</t>
        </is>
      </c>
      <c r="I56" s="6" t="inlineStr">
        <is>
          <t>คืน 404 Not Found</t>
        </is>
      </c>
      <c r="J56" s="6" t="inlineStr">
        <is>
          <t>FR-POPUP-08</t>
        </is>
      </c>
      <c r="K56" s="6" t="inlineStr">
        <is>
          <t>✅ รีเทสอัตโนมัติ 2026-09-02 (tests/popup-notification/popup-tracking-robustness.spec.ts): เข้า /popup-notifications/999999 → ไม่มีหน้า 500 ดิบ/stack trace แล้ว (HTTP 200) — BUG-004 ยืนยันแก้แล้ว แต่ยังไม่ใช่ friendly 404 เต็มรูปแบบ (ขึ้นหน้าเปล่า ไม่มีข้อความ "ไม่พบข้อมูล")</t>
        </is>
      </c>
      <c r="L56" s="13" t="inlineStr">
        <is>
          <t>✅ Pass</t>
        </is>
      </c>
      <c r="M56" s="6" t="inlineStr">
        <is>
          <t>BUG-004 Fixed (partial UX gap เหลืออยู่ — ไม่ใช่บั๊กแล้ว)</t>
        </is>
      </c>
    </row>
    <row r="57">
      <c r="A57" s="6" t="inlineStr">
        <is>
          <t>TC-RPT-003</t>
        </is>
      </c>
      <c r="B57" s="6" t="inlineStr">
        <is>
          <t>POPUP-RPT</t>
        </is>
      </c>
      <c r="C57" s="6" t="inlineStr">
        <is>
          <t>ยอด Views/Clicks บน Web-Admin ตรงกับจำนวน interaction จริงหลังพนักงานเปิดดูและกดปุ่ม</t>
        </is>
      </c>
      <c r="D57" s="8" t="inlineStr">
        <is>
          <t>Critical</t>
        </is>
      </c>
      <c r="E57" s="6" t="inlineStr">
        <is>
          <t>Positive (Data Verification)</t>
        </is>
      </c>
      <c r="F57" s="6" t="inlineStr">
        <is>
          <t>Popup PN-033 แสดงผลและมีพนักงานโต้ตอบแล้วตามจำนวนที่ทราบ (เช่น 3 viewed, 1 clicked, 2 dismissed)</t>
        </is>
      </c>
      <c r="G57" s="6" t="inlineStr">
        <is>
          <t>Popup ID: PN-033</t>
        </is>
      </c>
      <c r="H57" s="6" t="inlineStr">
        <is>
          <t>1. ให้พนักงาน 3 คนดู Popup (viewed)
2. 1 คนกดปุ่ม CTA (clicked), 2 คนกดปิด (dismissed)
3. เปิดหน้า Report บน Web-Admin ของ PN-033</t>
        </is>
      </c>
      <c r="I57" s="6" t="inlineStr">
        <is>
          <t>Views = 3, Clicks = 1, Dismissed = 2 ตรงกับที่เกิดขึ้นจริงเป๊ะ ไม่มีการนับซ้ำจาก debounce</t>
        </is>
      </c>
      <c r="J57" s="6" t="inlineStr">
        <is>
          <t>FR-POPUP-08</t>
        </is>
      </c>
      <c r="K57" s="6" t="inlineStr">
        <is>
          <t>⚠️ รันจริง 2026-08-27: 1 คน ดู+กดปุ่ม 'ปิด' 1 ครั้ง → Admin แสดง View=1 (ตรงตามคาด) แต่ **Click=0** (คาดหวัง Click=1 ตามที่ยืนยันจาก TC-BTN-001 ว่าปุ่ม type=close ก็นับเป็น clicked_button ด้วย) — อาจเป็นเพราะการคลิกในสคริปต์ไม่ landed จริง (มี .catch() ดักไว้ ทำให้ error เงียบ) ไม่ใช่ยืนยันว่าเป็นบั๊กจริง ต้องรันซ้ำแบบเจาะจงเพื่อยืนยันให้ชัดกว่านี้ — Inconclusive สำหรับส่วน Click count</t>
        </is>
      </c>
      <c r="L57" s="10" t="inlineStr">
        <is>
          <t>⏸️ Blocked</t>
        </is>
      </c>
      <c r="M57" s="6" t="inlineStr">
        <is>
          <t>ตรงกับ Checklist ผู้ใช้ข้อ 7 (ส่วนยอดสถิติ)</t>
        </is>
      </c>
    </row>
    <row r="58">
      <c r="A58" s="6" t="inlineStr">
        <is>
          <t>TC-RPT-004</t>
        </is>
      </c>
      <c r="B58" s="6" t="inlineStr">
        <is>
          <t>POPUP-RPT</t>
        </is>
      </c>
      <c r="C58" s="6" t="inlineStr">
        <is>
          <t>ตารางประวัติ Interaction แสดงชื่อพนักงาน/สาขา/ปุ่มที่กดครบถ้วน</t>
        </is>
      </c>
      <c r="D58" s="6" t="inlineStr">
        <is>
          <t>High</t>
        </is>
      </c>
      <c r="E58" s="6" t="inlineStr">
        <is>
          <t>Positive</t>
        </is>
      </c>
      <c r="F58" s="6" t="inlineStr">
        <is>
          <t>มี interaction เกิดขึ้นจริงจากพนักงานที่ระบุตัวตนได้</t>
        </is>
      </c>
      <c r="G58" s="6" t="inlineStr">
        <is>
          <t>พนักงาน A (สาขา 1) กดปุ่ม 'ดูโปรโมชัน'</t>
        </is>
      </c>
      <c r="H58" s="6" t="inlineStr">
        <is>
          <t>1. เปิดหน้า Report ของ Popup บน Web-Admin
2. ดูตารางประวัติผู้ใช้งาน</t>
        </is>
      </c>
      <c r="I58" s="6" t="inlineStr">
        <is>
          <t>แถวประวัติแสดงชื่อพนักงาน, สาขา, และชื่อปุ่มที่กดครบทุกคอลัมน์ ตรงกับ Event จริง</t>
        </is>
      </c>
      <c r="J58" s="6" t="inlineStr">
        <is>
          <t>FR-POPUP-08</t>
        </is>
      </c>
      <c r="K58" s="6" t="inlineStr">
        <is>
          <t>ยืนยันจากภาพหน้าจอจริงที่เก็บไว้ตั้งแต่ต้น session (04-campaign-detail.png, แคมเปญ 'สายรุ้งทดสอบ'): ตารางประวัติ Interactions Log แสดงคอลัมน์ครบถ้วนจริง — # | พนักงาน (ชื่อ+ID) | ร้านค้า/สาขา | แพลตฟอร์ม | Action ที่ทำ | วันเวลาที่ตอบรับ ทุกแถวมีข้อมูลครบไม่มีช่องว่าง</t>
        </is>
      </c>
      <c r="L58" s="12" t="inlineStr">
        <is>
          <t>✅ Pass</t>
        </is>
      </c>
      <c r="M58" s="6" t="inlineStr">
        <is>
          <t>ตรงกับ Checklist ผู้ใช้ข้อ 7 (ส่วนตารางประวัติ มีชื่อพนักงาน/สาขา/ปุ่มที่กด)</t>
        </is>
      </c>
    </row>
    <row r="59">
      <c r="A59" s="6" t="inlineStr">
        <is>
          <t>TC-RPT-005</t>
        </is>
      </c>
      <c r="B59" s="6" t="inlineStr">
        <is>
          <t>POPUP-RPT</t>
        </is>
      </c>
      <c r="C59" s="6" t="inlineStr">
        <is>
          <t>Interactions API รองรับ Pagination เมื่อประวัติมีจำนวนมาก</t>
        </is>
      </c>
      <c r="D59" s="6" t="inlineStr">
        <is>
          <t>Medium</t>
        </is>
      </c>
      <c r="E59" s="6" t="inlineStr">
        <is>
          <t>Edge</t>
        </is>
      </c>
      <c r="F59" s="6" t="inlineStr">
        <is>
          <t>Popup ที่มี interaction มากกว่า 1 หน้า (เช่น &gt; 50 records)</t>
        </is>
      </c>
      <c r="G59" s="6" t="inlineStr">
        <is>
          <t>Popup ID ที่มี interaction จำนวนมาก (seed ข้อมูล &gt; page size)</t>
        </is>
      </c>
      <c r="H59" s="6" t="inlineStr">
        <is>
          <t>1. GET interactions พร้อม param page/limit
2. เปลี่ยนหน้าไปเรื่อย ๆ</t>
        </is>
      </c>
      <c r="I59" s="6" t="inlineStr">
        <is>
          <t>ข้อมูลถูกแบ่งหน้าไม่ตกหล่นหรือซ้ำซ้อน รวมจำนวนรวมถูกต้อง</t>
        </is>
      </c>
      <c r="J59" s="6" t="inlineStr">
        <is>
          <t>FR-POPUP-08</t>
        </is>
      </c>
      <c r="K59" s="6" t="inlineStr"/>
      <c r="L59" s="9" t="inlineStr">
        <is>
          <t>⬜ Not Run</t>
        </is>
      </c>
      <c r="M59" s="6" t="inlineStr"/>
    </row>
    <row r="60">
      <c r="A60" s="6" t="inlineStr">
        <is>
          <t>TC-CLIENT-001</t>
        </is>
      </c>
      <c r="B60" s="6" t="inlineStr">
        <is>
          <t>POPUP-CLIENT</t>
        </is>
      </c>
      <c r="C60" s="6" t="inlineStr">
        <is>
          <t>พนักงานที่ไม่มี Popup ตรงเงื่อนไขเลย ไม่เห็น Popup ใด ๆ</t>
        </is>
      </c>
      <c r="D60" s="6" t="inlineStr">
        <is>
          <t>High</t>
        </is>
      </c>
      <c r="E60" s="6" t="inlineStr">
        <is>
          <t>Positive (Empty state)</t>
        </is>
      </c>
      <c r="F60" s="6" t="inlineStr">
        <is>
          <t>ไม่มี Popup ใดเข้าเงื่อนไขของพนักงานคนนี้</t>
        </is>
      </c>
      <c r="G60" s="6" t="inlineStr">
        <is>
          <t>พนักงาน Company Z ที่ไม่มี Popup Global/Company/Branch ใด ๆ กำหนดไว้</t>
        </is>
      </c>
      <c r="H60" s="6" t="inlineStr">
        <is>
          <t>1. Login พนักงาน → เข้า POS-v2/Web-App</t>
        </is>
      </c>
      <c r="I60" s="6" t="inlineStr">
        <is>
          <t>หน้าจอโหลดปกติ ไม่มี Modal ใด ๆ แสดง ไม่มี error ใน console</t>
        </is>
      </c>
      <c r="J60" s="6" t="inlineStr">
        <is>
          <t>FR-POPUP-02</t>
        </is>
      </c>
      <c r="K60" s="6" t="inlineStr">
        <is>
          <t>รันจริง 2026-08-27: Login POS-v2 โดยไม่มี Popup ใดเข้าเงื่อนไข → ไม่มี Modal แสดงเลย ถูกต้อง</t>
        </is>
      </c>
      <c r="L60" s="12" t="inlineStr">
        <is>
          <t>✅ Pass</t>
        </is>
      </c>
      <c r="M60" s="6" t="inlineStr"/>
    </row>
    <row r="61">
      <c r="A61" s="6" t="inlineStr">
        <is>
          <t>TC-CLIENT-002</t>
        </is>
      </c>
      <c r="B61" s="6" t="inlineStr">
        <is>
          <t>POPUP-CLIENT</t>
        </is>
      </c>
      <c r="C61" s="6" t="inlineStr">
        <is>
          <t>พฤติกรรมเมื่อมีหลาย Popup เข้าเงื่อนไขพร้อมกัน ยังไม่ถูกระบุในสเปก</t>
        </is>
      </c>
      <c r="D61" s="8" t="inlineStr">
        <is>
          <t>Critical</t>
        </is>
      </c>
      <c r="E61" s="6" t="inlineStr">
        <is>
          <t>Edge / Blocked</t>
        </is>
      </c>
      <c r="F61" s="6" t="inlineStr">
        <is>
          <t>มี Popup 2 รายการที่เข้าเงื่อนไขแสดงผลพร้อมกันสำหรับพนักงานคนเดียวกัน</t>
        </is>
      </c>
      <c r="G61" s="6" t="inlineStr">
        <is>
          <t>Popup PN-034 และ PN-035 เข้าเงื่อนไขพร้อมกันทั้งคู่</t>
        </is>
      </c>
      <c r="H61" s="6" t="inlineStr">
        <is>
          <t>1. ตั้งค่าให้ 2 Popup active/scope/date ตรงกับพนักงานคนเดียวพร้อมกัน
2. Login พนักงาน</t>
        </is>
      </c>
      <c r="I61" s="6" t="inlineStr">
        <is>
          <t>⏸️ สเปกไม่ได้ระบุว่า Client Active API คืนทั้ง 2 รายการหรือรายการเดียว และถ้าคืนหลายรายการ หน้าร้านต้องแสดงซ้อนกันหรือเรียงคิว — ต้องถาม BA/PM ก่อนกำหนด Expected Result</t>
        </is>
      </c>
      <c r="J61" s="6" t="inlineStr">
        <is>
          <t>FR-POPUP-02</t>
        </is>
      </c>
      <c r="K61" s="6" t="inlineStr"/>
      <c r="L61" s="10" t="inlineStr">
        <is>
          <t>⏸️ Blocked</t>
        </is>
      </c>
      <c r="M61" s="6" t="inlineStr">
        <is>
          <t>Blocked ตามกฎ Test Oracle — มีผลกระทบ UX สูงบนหน้าจอขายจริงถ้าไม่มีการจัดการ
🔎 สังเกตจริงบน Staging (2026-08-27, POS-v2, company=Arincare Pharmacy): พบ Modal 2 ชั้นซ้อนกันจริง — แคมเปญ 'สายรุ้งทดสอบ' (class .popup-notification-modal-custom ยืนยันว่าเป็น Popup Notification จริง) ซ้อนทับกับ Modal '🌸MERCILON 21,28 ซื้อคละได้!' (class เป็น .modal-dialog เฉยๆ ไม่มี .popup-notification-modal-custom — คาดว่าเป็นคนละระบบ/Promotion Popup เดิม ไม่ใช่ Popup Notification 2 แคมเปญซ้อนกัน) ยังไม่สามารถสรุปได้ 100% ว่าถ้ามี Popup Notification 2 แคมเปญเข้าเงื่อนไขพร้อมกันจริงๆ จะ แสดงซ้อนกันแบบเดียวกันหรือไม่ ยังต้องทดสอบด้วยการสร้าง 2 แคมเปญ Popup Notification จริงพร้อมกันเพื่อยืนยัน — แต่ยืนยันแล้วว่า 'ปัญหา Modal บังกันบนหน้าจอขาย' เป็นเรื่องจริงที่เกิดขึ้นได้ (แม้จะข้าม feature) ควรแจ้ง Dev/PM
อัปเดต 2026-08-31: ยังไม่สามารถยืนยันได้ 100% ว่า Popup Notification 2 แคมเปญซ้อนกันเองจะเกิดอะไรขึ้น (กรณีที่เจอจริงคือ Popup Notification ซ้อนกับ Promotion Popup ระบบอื่น ไม่ใช่ 2 แคมเปญ Popup Notification ชนกันเอง) — ตอนนี้มี 2 แคมเปญจริงบน Staging พร้อมกัน ('สายรุ้งทดสอบ' และ 'NOTI') ที่อาจใช้ทดสอบ TC นี้ได้ ถ้าหาบัญชีที่ยังไม่เคยเห็นทั้งคู่มาทดสอบ</t>
        </is>
      </c>
    </row>
    <row r="62">
      <c r="A62" s="6" t="inlineStr">
        <is>
          <t>TC-CLIENT-003</t>
        </is>
      </c>
      <c r="B62" s="6" t="inlineStr">
        <is>
          <t>POPUP-CLIENT</t>
        </is>
      </c>
      <c r="C62" s="6" t="inlineStr">
        <is>
          <t>เรียก Client Active API ด้วย company_slug ที่ไม่มีอยู่จริง</t>
        </is>
      </c>
      <c r="D62" s="6" t="inlineStr">
        <is>
          <t>Medium</t>
        </is>
      </c>
      <c r="E62" s="6" t="inlineStr">
        <is>
          <t>Negative</t>
        </is>
      </c>
      <c r="F62" s="6" t="inlineStr">
        <is>
          <t>ระบบทำงานปกติ</t>
        </is>
      </c>
      <c r="G62" s="6" t="inlineStr">
        <is>
          <t>GET /companies/not-exist-slug/popup-notifications/active?platform=pos-v2</t>
        </is>
      </c>
      <c r="H62" s="6" t="inlineStr">
        <is>
          <t>1. ยิง API ด้วย company_slug ปลอม</t>
        </is>
      </c>
      <c r="I62" s="6" t="inlineStr">
        <is>
          <t>คืน 404 หรือข้อความ error ที่ชัดเจน ไม่ใช่ 200 พร้อมข้อมูลว่างแบบไม่ระบุสาเหตุ</t>
        </is>
      </c>
      <c r="J62" s="6" t="inlineStr">
        <is>
          <t>FR-POPUP-02</t>
        </is>
      </c>
      <c r="K62" s="6" t="inlineStr"/>
      <c r="L62" s="9" t="inlineStr">
        <is>
          <t>⬜ Not Run</t>
        </is>
      </c>
      <c r="M62" s="6" t="inlineStr"/>
    </row>
    <row r="63">
      <c r="A63" s="6" t="inlineStr">
        <is>
          <t>TC-SEC-001</t>
        </is>
      </c>
      <c r="B63" s="6" t="inlineStr">
        <is>
          <t>POPUP-SEC</t>
        </is>
      </c>
      <c r="C63" s="6" t="inlineStr">
        <is>
          <t>ยิง Tracking API ตรงสำหรับ Popup ที่ไม่ได้ Scope ให้พนักงานคนนี้ (IDOR)</t>
        </is>
      </c>
      <c r="D63" s="8" t="inlineStr">
        <is>
          <t>Critical</t>
        </is>
      </c>
      <c r="E63" s="6" t="inlineStr">
        <is>
          <t>Security (Negative)</t>
        </is>
      </c>
      <c r="F63" s="6" t="inlineStr">
        <is>
          <t>Popup PN-016 (scope=Company X/Branch 1) — พนักงานทดสอบสังกัด Company Y</t>
        </is>
      </c>
      <c r="G63" s="6" t="inlineStr">
        <is>
          <t>POST /companies/{Y-slug}/popup-notifications/PN-016/interactions body: action_taken=viewed</t>
        </is>
      </c>
      <c r="H63" s="6" t="inlineStr">
        <is>
          <t>1. Login เป็นพนักงาน Company Y
2. ปลอมยิง Tracking API ตรงสำหรับ PN-016 ที่ไม่ได้ scope ให้ Company Y</t>
        </is>
      </c>
      <c r="I63" s="6" t="inlineStr">
        <is>
          <t>ระบบต้องปฏิเสธ (403) ไม่บันทึก interaction ปลอมนี้ลง report</t>
        </is>
      </c>
      <c r="J63" s="6" t="inlineStr">
        <is>
          <t>FR-POPUP-07</t>
        </is>
      </c>
      <c r="K63" s="6" t="inlineStr"/>
      <c r="L63" s="9" t="inlineStr">
        <is>
          <t>⬜ Not Run</t>
        </is>
      </c>
      <c r="M63" s="6" t="inlineStr">
        <is>
          <t>IDOR/Data-integrity — ป้องกันการปลอมสถิติของ Popup ที่ไม่เกี่ยวข้อง</t>
        </is>
      </c>
    </row>
    <row r="64">
      <c r="A64" s="6" t="inlineStr">
        <is>
          <t>TC-SEC-002</t>
        </is>
      </c>
      <c r="B64" s="6" t="inlineStr">
        <is>
          <t>POPUP-SEC</t>
        </is>
      </c>
      <c r="C64" s="6" t="inlineStr">
        <is>
          <t>ยิง Tracking API ด้วย action_taken ที่ไม่อยู่ใน enum ที่กำหนด</t>
        </is>
      </c>
      <c r="D64" s="6" t="inlineStr">
        <is>
          <t>High</t>
        </is>
      </c>
      <c r="E64" s="6" t="inlineStr">
        <is>
          <t>Negative (EP)</t>
        </is>
      </c>
      <c r="F64" s="6" t="inlineStr">
        <is>
          <t>Popup PN-028 มีอยู่จริงและ scope ตรงกับผู้ยิง</t>
        </is>
      </c>
      <c r="G64" s="6" t="inlineStr">
        <is>
          <t>POST .../interactions body: action_taken="hacked"</t>
        </is>
      </c>
      <c r="H64" s="6" t="inlineStr">
        <is>
          <t>1. ยิง Tracking API ด้วยค่า action_taken ที่ไม่รู้จัก</t>
        </is>
      </c>
      <c r="I64" s="6" t="inlineStr">
        <is>
          <t>คืน 400 Bad Request ไม่มีการบันทึกข้อมูลขยะลงระบบ</t>
        </is>
      </c>
      <c r="J64" s="6" t="inlineStr">
        <is>
          <t>FR-POPUP-07</t>
        </is>
      </c>
      <c r="K64" s="6" t="inlineStr"/>
      <c r="L64" s="9" t="inlineStr">
        <is>
          <t>⬜ Not Run</t>
        </is>
      </c>
      <c r="M64" s="6" t="inlineStr"/>
    </row>
    <row r="65">
      <c r="A65" s="6" t="inlineStr">
        <is>
          <t>TC-SEC-003</t>
        </is>
      </c>
      <c r="B65" s="6" t="inlineStr">
        <is>
          <t>POPUP-SEC</t>
        </is>
      </c>
      <c r="C65" s="6" t="inlineStr">
        <is>
          <t>HTML content ของ Popup ที่มี &lt;script&gt; tag (สมมติบัญชี Admin ถูกแฮ็ก) รันสคริปต์ได้หรือไม่</t>
        </is>
      </c>
      <c r="D65" s="8" t="inlineStr">
        <is>
          <t>Critical</t>
        </is>
      </c>
      <c r="E65" s="6" t="inlineStr">
        <is>
          <t>Security / Blocked</t>
        </is>
      </c>
      <c r="F65" s="6" t="inlineStr">
        <is>
          <t>Admin สร้าง Popup ที่มี HTML content ฝัง &lt;script&gt;alert(document.cookie)&lt;/script&gt;</t>
        </is>
      </c>
      <c r="G65" s="6" t="inlineStr">
        <is>
          <t>Popup ID: PN-036</t>
        </is>
      </c>
      <c r="H65" s="6" t="inlineStr">
        <is>
          <t>1. บันทึก Popup ที่มี script tag ผ่าน Admin API/UI
2. เปิดดูบนหน้าร้าน (POS-v2/Web-App)</t>
        </is>
      </c>
      <c r="I65" s="6" t="inlineStr">
        <is>
          <t>⏸️ สเปกไม่ได้ระบุว่ามีการ sanitize HTML content ของ Popup หรือไม่ (ต่างจากกฎ 3.4 ที่พูดถึงเฉพาะ URL ของปุ่ม) — ต้องยืนยันกับ BA/Dev ว่า Admin เป็น trusted user เต็มรูปแบบ หรือควร sanitize เป็น defense-in-depth</t>
        </is>
      </c>
      <c r="J65" s="6" t="inlineStr">
        <is>
          <t>FR-POPUP-01</t>
        </is>
      </c>
      <c r="K65" s="6" t="inlineStr"/>
      <c r="L65" s="10" t="inlineStr">
        <is>
          <t>⏸️ Blocked</t>
        </is>
      </c>
      <c r="M65" s="6" t="inlineStr">
        <is>
          <t>Blocked — ความเสี่ยง Stored XSS ระดับ Critical หากไม่มีการ sanitize และบัญชี Admin ถูกยึด</t>
        </is>
      </c>
    </row>
    <row r="66">
      <c r="A66" s="6" t="inlineStr">
        <is>
          <t>TC-SEC-004</t>
        </is>
      </c>
      <c r="B66" s="6" t="inlineStr">
        <is>
          <t>POPUP-SEC</t>
        </is>
      </c>
      <c r="C66" s="6" t="inlineStr">
        <is>
          <t>ยิง action_taken=viewed ซ้ำเร็ว ๆ ผ่าน API ตรง (ข้าม Client-side debounce)</t>
        </is>
      </c>
      <c r="D66" s="6" t="inlineStr">
        <is>
          <t>Medium</t>
        </is>
      </c>
      <c r="E66" s="6" t="inlineStr">
        <is>
          <t>Error Guessing / Blocked</t>
        </is>
      </c>
      <c r="F66" s="6" t="inlineStr">
        <is>
          <t>Popup PN-028 scope ตรงกับผู้ยิง</t>
        </is>
      </c>
      <c r="G66" s="6" t="inlineStr">
        <is>
          <t>ยิง POST .../interactions (action_taken=viewed) ติดกัน 2 ครั้งภายใน 1 วินาที ผ่าน Postman/script ตรง (ไม่ผ่าน UI)</t>
        </is>
      </c>
      <c r="H66" s="6" t="inlineStr">
        <is>
          <t>1. ยิง Tracking API ซ้ำเร็ว ๆ นอก UI</t>
        </is>
      </c>
      <c r="I66" s="6" t="inlineStr">
        <is>
          <t>⏸️ สเปกระบุ debounce 10 นาทีเฉพาะฝั่ง Client เท่านั้น ไม่ชัดว่า Server มีการกันซ้ำ (idempotency) ด้วยหรือไม่ — ถ้าไม่มี จะสามารถปลอมยอด View ได้ไม่จำกัด ต้องถาม BA/Dev</t>
        </is>
      </c>
      <c r="J66" s="6" t="inlineStr">
        <is>
          <t>FR-POPUP-07</t>
        </is>
      </c>
      <c r="K66" s="6" t="inlineStr"/>
      <c r="L66" s="10" t="inlineStr">
        <is>
          <t>⏸️ Blocked</t>
        </is>
      </c>
      <c r="M66" s="6" t="inlineStr">
        <is>
          <t>Blocked — เสี่ยงข้อมูลสถิติ (Views) ถูกปลอมแปลงได้หากพึ่ง Client-side debounce อย่างเดียว</t>
        </is>
      </c>
    </row>
    <row r="67">
      <c r="A67" s="6" t="inlineStr">
        <is>
          <t>TC-E2E-001</t>
        </is>
      </c>
      <c r="B67" s="6" t="inlineStr">
        <is>
          <t>POPUP-E2E</t>
        </is>
      </c>
      <c r="C67" s="6" t="inlineStr">
        <is>
          <t>E2E หลัก (POS-v2): Checkin → เห็น Popup → ดู → ปิด → สถิติอัปเดต</t>
        </is>
      </c>
      <c r="D67" s="8" t="inlineStr">
        <is>
          <t>Critical</t>
        </is>
      </c>
      <c r="E67" s="6" t="inlineStr">
        <is>
          <t>E2E (Main flow)</t>
        </is>
      </c>
      <c r="F67" s="6" t="inlineStr">
        <is>
          <t>พนักงานมี Popup ที่เข้าเงื่อนไขครบ และยังไม่มีประวัติ interaction</t>
        </is>
      </c>
      <c r="G67" s="6" t="inlineStr">
        <is>
          <t>Popup ID: PN-037</t>
        </is>
      </c>
      <c r="H67" s="6" t="inlineStr">
        <is>
          <t>1. พนักงาน Checkin เข้าหน้าจอขาย POS-v2
2. Popup แสดงผลอัตโนมัติ (viewed ถูกบันทึก)
3. พนักงานกดปุ่มปิด (dismissed ถูกบันทึก)
4. Admin เปิดหน้า Report ของ PN-037</t>
        </is>
      </c>
      <c r="I67" s="6" t="inlineStr">
        <is>
          <t>ทุกขั้นตอนสำเร็จต่อเนื่อง: Popup แสดง → ปิดได้ → Report แสดง Views +1, Dismissed +1 ตรงกับที่เกิดขึ้นจริง</t>
        </is>
      </c>
      <c r="J67" s="6" t="inlineStr">
        <is>
          <t>FR-POPUP-02, FR-POPUP-07, FR-POPUP-08</t>
        </is>
      </c>
      <c r="K67" s="6" t="inlineStr">
        <is>
          <t>รันผ่าน Playwright (popup-display-e2e.spec.ts) 2026-08-27: Checkin POS-v2 → Popup แสดงจริง (เนื้อหาตรง) → กดปุ่มปิด → Modal ปิด → เช็ค Report บน Admin ยอด View เพิ่มขึ้นจริงตรงกัน</t>
        </is>
      </c>
      <c r="L67" s="12" t="inlineStr">
        <is>
          <t>✅ Pass</t>
        </is>
      </c>
      <c r="M67" s="6" t="inlineStr"/>
    </row>
    <row r="68">
      <c r="A68" s="6" t="inlineStr">
        <is>
          <t>TC-E2E-002</t>
        </is>
      </c>
      <c r="B68" s="6" t="inlineStr">
        <is>
          <t>POPUP-E2E</t>
        </is>
      </c>
      <c r="C68" s="6" t="inlineStr">
        <is>
          <t>E2E หลัก (Web-App): Login+เลือกสาขา → เห็น Popup → กด CTA → สถิติอัปเดต</t>
        </is>
      </c>
      <c r="D68" s="8" t="inlineStr">
        <is>
          <t>Critical</t>
        </is>
      </c>
      <c r="E68" s="6" t="inlineStr">
        <is>
          <t>E2E (Main flow)</t>
        </is>
      </c>
      <c r="F68" s="6" t="inlineStr">
        <is>
          <t>พนักงานมี Popup ที่เข้าเงื่อนไขครบสำหรับ Web-App</t>
        </is>
      </c>
      <c r="G68" s="6" t="inlineStr">
        <is>
          <t>Popup ID: PN-038 (มีปุ่ม redirect)</t>
        </is>
      </c>
      <c r="H68" s="6" t="inlineStr">
        <is>
          <t>1. Login เข้า Web-App ERP
2. เลือก Company &amp; Branch
3. Popup แสดงผลอัตโนมัติ (viewed ถูกบันทึก)
4. พนักงานกดปุ่ม CTA redirect (clicked_button_{id} ถูกบันทึก)
5. Admin เปิดหน้า Report</t>
        </is>
      </c>
      <c r="I68" s="6" t="inlineStr">
        <is>
          <t>Popup แสดงหลังเลือกสาขา, URL ปลายทางเปิดถูกต้อง, Report แสดง Views +1, Clicks +1</t>
        </is>
      </c>
      <c r="J68" s="6" t="inlineStr">
        <is>
          <t>FR-POPUP-02, FR-POPUP-06, FR-POPUP-08</t>
        </is>
      </c>
      <c r="K68" s="6" t="inlineStr">
        <is>
          <t>❌ รีเทสอัตโนมัติถาวร 2026-09-02 (tests/popup-notification/popup-webapp-e2e.spec.ts): ผลเดิม (Pass, 2026-08-31) มาจาก manual one-off ที่บังเอิญมีแคมเปญเก่าทิ้งไว้แสดงพอดี ไม่ใช่การทดสอบ flow สร้าง-ใหม่จริง ทดสอบซ้ำแบบสร้างแคมเปญใหม่ทุกรอบ (scope=Global) พบ 2 ปัญหาจริง: (1) แคมเปญใหม่ไม่แสดงผลจนเลย ~90-100 วิ (เหมือน BUG-008 บน Med-Ex) (2) หลังแสดงแล้ว popup บัง link "เข้าทำงาน" ต่อเนื่องได้นาน 150+ วิ แม้พยายามปิดซ้ำในลูป 60s ก็ไม่สำเร็จถาวร — reproduced 4/4 รอบ ผ่าน Playwright test runner จริง</t>
        </is>
      </c>
      <c r="L68" s="12" t="inlineStr">
        <is>
          <t>❌ Fail</t>
        </is>
      </c>
      <c r="M68" s="6" t="inlineStr">
        <is>
          <t>อัปเดต bug: ดู qa-context.md C2 — ขยาย BUG-008 ครอบคลุม Web-App + เพิ่มแถวใหม่เรื่อง branch-selection ถูกบัง (severity สูงกว่าที่คิดเดิม เพราะบล็อกการเข้าทำงานจริง ไม่ใช่แค่ popup โฆษณาช้า)</t>
        </is>
      </c>
    </row>
    <row r="69">
      <c r="A69" s="6" t="inlineStr">
        <is>
          <t>TC-E2E-003</t>
        </is>
      </c>
      <c r="B69" s="6" t="inlineStr">
        <is>
          <t>POPUP-E2E</t>
        </is>
      </c>
      <c r="C69" s="6" t="inlineStr">
        <is>
          <t>E2E ทางเลือก: Frequency=once ข้าม 2 Platform (ตามกฎ 3.1) ครบวงจร</t>
        </is>
      </c>
      <c r="D69" s="8" t="inlineStr">
        <is>
          <t>Critical</t>
        </is>
      </c>
      <c r="E69" s="6" t="inlineStr">
        <is>
          <t>E2E (Alternative flow)</t>
        </is>
      </c>
      <c r="F69" s="6" t="inlineStr">
        <is>
          <t>Popup platform=[web-app, pos-v2], frequency=once, พนักงานยังไม่เคยเห็นทั้งคู่</t>
        </is>
      </c>
      <c r="G69" s="6" t="inlineStr">
        <is>
          <t>Popup ID: PN-013</t>
        </is>
      </c>
      <c r="H69" s="6" t="inlineStr">
        <is>
          <t>1. Login พนักงาน → Web-App → Popup แสดง → ปิด (viewed+dismissed บันทึกที่ platform=web-app)
2. พนักงานคนเดิม Login เข้า POS-v2 วันเดียวกัน → Popup ต้องแสดงอีกครั้ง (viewed บันทึกที่ platform=pos-v2)
3. Admin เปิด Report ของ PN-013</t>
        </is>
      </c>
      <c r="I69" s="6" t="inlineStr">
        <is>
          <t>Report แสดง 2 รายการ viewed แยกตาม platform (web-app 1 ครั้ง, pos-v2 1 ครั้ง) และพนักงานเห็น Popup ครบทั้ง 2 แพลตฟอร์ม</t>
        </is>
      </c>
      <c r="J69" s="6" t="inlineStr">
        <is>
          <t>FR-POPUP-03, FR-POPUP-08</t>
        </is>
      </c>
      <c r="K69" s="6" t="inlineStr">
        <is>
          <t>หลักฐานเดียวกับ TC-FREQ-002 — ยืนยันจากข้อมูลจริงในระบบ ไม่ใช่การ Execute แบบควบคุมเอง</t>
        </is>
      </c>
      <c r="L69" s="12" t="inlineStr">
        <is>
          <t>✅ Pass</t>
        </is>
      </c>
      <c r="M69" s="6" t="inlineStr">
        <is>
          <t>ครอบคลุม Checklist ผู้ใช้ข้อ 5 แบบ end-to-end เต็มวงจรพร้อมยืนยันผลใน Report
✅ พบหลักฐานจริงบน Staging ยืนยัน flow นี้ทำงานถูกต้อง (ดูรายละเอียดที่ TC-FREQ-002)</t>
        </is>
      </c>
    </row>
    <row r="70">
      <c r="A70" s="6" t="inlineStr">
        <is>
          <t>TC-E2E-004</t>
        </is>
      </c>
      <c r="B70" s="6" t="inlineStr">
        <is>
          <t>POPUP-E2E</t>
        </is>
      </c>
      <c r="C70" s="6" t="inlineStr">
        <is>
          <t>E2E ข้อผิดพลาด: Popup API ล่ม ไม่กระทบการ Checkin ของ POS-v2</t>
        </is>
      </c>
      <c r="D70" s="6" t="inlineStr">
        <is>
          <t>High</t>
        </is>
      </c>
      <c r="E70" s="6" t="inlineStr">
        <is>
          <t>E2E (Exception flow)</t>
        </is>
      </c>
      <c r="F70" s="6" t="inlineStr">
        <is>
          <t>จำลอง web-api-v2 popup endpoint down/timeout</t>
        </is>
      </c>
      <c r="G70" s="6" t="inlineStr">
        <is>
          <t>Mock backend ให้ Client Active API ตอบ 500/timeout</t>
        </is>
      </c>
      <c r="H70" s="6" t="inlineStr">
        <is>
          <t>1. พนักงาน Checkin เข้า POS-v2 ขณะ Popup API ล่ม</t>
        </is>
      </c>
      <c r="I70" s="6" t="inlineStr">
        <is>
          <t>หน้าจอขายเปิดใช้งานได้ปกติทันที ไม่มี Modal ค้าง ไม่มี error กระทบ flow การขาย</t>
        </is>
      </c>
      <c r="J70" s="6" t="inlineStr">
        <is>
          <t>FR-POPUP-09</t>
        </is>
      </c>
      <c r="K70" s="6" t="inlineStr">
        <is>
          <t>รันจริง 2026-08-27: Block Client Active API ด้วย route interception → Login/Checkin POS-v2 ยังเสร็จสมบูรณ์ ภายใน ~16 วินาที (เวลาปกติของ flow login หลายขั้นตอน ไม่ได้ค้างเพิ่มจากการ block) หน้าใช้งานได้ปกติ</t>
        </is>
      </c>
      <c r="L70" s="12" t="inlineStr">
        <is>
          <t>✅ Pass</t>
        </is>
      </c>
      <c r="M70" s="6" t="inlineStr">
        <is>
          <t>ยืนยันสถาปัตยกรรม Pure REST On-Mount ไม่บล็อก main flow</t>
        </is>
      </c>
    </row>
    <row r="71">
      <c r="A71" s="6" t="inlineStr">
        <is>
          <t>TC-E2E-005</t>
        </is>
      </c>
      <c r="B71" s="6" t="inlineStr">
        <is>
          <t>POPUP-E2E</t>
        </is>
      </c>
      <c r="C71" s="6" t="inlineStr">
        <is>
          <t>E2E ปกติ: พนักงานไม่มี Popup ใด ๆ เข้างานได้ปกติไม่มีดีเลย์</t>
        </is>
      </c>
      <c r="D71" s="6" t="inlineStr">
        <is>
          <t>Medium</t>
        </is>
      </c>
      <c r="E71" s="6" t="inlineStr">
        <is>
          <t>E2E (Main flow)</t>
        </is>
      </c>
      <c r="F71" s="6" t="inlineStr">
        <is>
          <t>ไม่มี Popup ใดเข้าเงื่อนไขของพนักงานคนนี้</t>
        </is>
      </c>
      <c r="G71" s="6" t="inlineStr">
        <is>
          <t>-</t>
        </is>
      </c>
      <c r="H71" s="6" t="inlineStr">
        <is>
          <t>1. พนักงาน Login/Checkin ตามปกติ</t>
        </is>
      </c>
      <c r="I71" s="6" t="inlineStr">
        <is>
          <t>หน้าจอโหลดและใช้งานได้ทันที ไม่มีการหน่วงเวลารอ Popup API</t>
        </is>
      </c>
      <c r="J71" s="6" t="inlineStr">
        <is>
          <t>FR-POPUP-09</t>
        </is>
      </c>
      <c r="K71" s="6" t="inlineStr"/>
      <c r="L71" s="9" t="inlineStr">
        <is>
          <t>⬜ Not Run</t>
        </is>
      </c>
      <c r="M71" s="6" t="inlineStr"/>
    </row>
    <row r="72">
      <c r="A72" s="6" t="inlineStr">
        <is>
          <t>TC-CONC-001</t>
        </is>
      </c>
      <c r="B72" s="6" t="inlineStr">
        <is>
          <t>POPUP-CONC</t>
        </is>
      </c>
      <c r="C72" s="6" t="inlineStr">
        <is>
          <t>เปิด 2 Tab พร้อมกันด้วยพนักงานคนเดียวกัน ตรวจสอบการนับ View ซ้ำซ้อน</t>
        </is>
      </c>
      <c r="D72" s="6" t="inlineStr">
        <is>
          <t>High</t>
        </is>
      </c>
      <c r="E72" s="6" t="inlineStr">
        <is>
          <t>Concurrency</t>
        </is>
      </c>
      <c r="F72" s="6" t="inlineStr">
        <is>
          <t>Popup PN-039 เข้าเงื่อนไขแสดงผล พนักงานยังไม่เคยเห็น</t>
        </is>
      </c>
      <c r="G72" s="6" t="inlineStr">
        <is>
          <t>Popup ID: PN-039</t>
        </is>
      </c>
      <c r="H72" s="6" t="inlineStr">
        <is>
          <t>1. เปิด POS-v2 พร้อมกัน 2 Tab/Browser ด้วยบัญชีเดียวกัน
2. ทั้ง 2 Tab mount Popup พร้อมกัน</t>
        </is>
      </c>
      <c r="I72" s="6" t="inlineStr">
        <is>
          <t>ตรวจสอบว่า Report นับ View กี่ครั้ง (คาดหวังไม่เกิน 1 ครั้งถ้ามีการกันซ้ำที่ Backend) — ถ้านับซ้ำ 2 ครั้ง ให้บันทึกเป็นข้อสังเกต/บั๊กเพื่อยืนยัน design กับทีม Dev</t>
        </is>
      </c>
      <c r="J72" s="6" t="inlineStr">
        <is>
          <t>FR-POPUP-07</t>
        </is>
      </c>
      <c r="K72" s="6" t="inlineStr">
        <is>
          <t>รันจริง 2026-08-27: เปิด 2 Tab พร้อมกันด้วย account เดียวกัน → Tab1 ไม่เห็น Popup, Tab2 เห็น Popup (อาจเพราะ Tab2 fetch เสร็จก่อน หรือ Tab1 เช็คเร็วไปหน่อย) แต่ที่สำคัญคือ Admin นับยอด View ได้แค่ 1 ครั้ง ไม่ใช่ 2 ครั้ง — สรุปว่า**ไม่มีปัญหานับ View ซ้ำจาก Race Condition**</t>
        </is>
      </c>
      <c r="L72" s="12" t="inlineStr">
        <is>
          <t>✅ Pass</t>
        </is>
      </c>
      <c r="M72" s="6" t="inlineStr">
        <is>
          <t>Exploratory/Race condition — ผลลัพธ์ที่แท้จริงขึ้นกับ design ฝั่ง Backend ที่ยังไม่ระบุในสเปก</t>
        </is>
      </c>
    </row>
    <row r="73">
      <c r="A73" s="6" t="inlineStr">
        <is>
          <t>TC-CONC-002</t>
        </is>
      </c>
      <c r="B73" s="6" t="inlineStr">
        <is>
          <t>POPUP-CONC</t>
        </is>
      </c>
      <c r="C73" s="6" t="inlineStr">
        <is>
          <t>Admin ปิด Popup ระหว่างพนักงานกำลังเปิดดูอยู่ ไม่กระทบ session ที่เปิดค้าง</t>
        </is>
      </c>
      <c r="D73" s="6" t="inlineStr">
        <is>
          <t>Medium</t>
        </is>
      </c>
      <c r="E73" s="6" t="inlineStr">
        <is>
          <t>Concurrency</t>
        </is>
      </c>
      <c r="F73" s="6" t="inlineStr">
        <is>
          <t>Popup PN-040 กำลังแสดงผลอยู่ในหน้าจอพนักงาน A ขณะที่ Admin แก้ไข</t>
        </is>
      </c>
      <c r="G73" s="6" t="inlineStr">
        <is>
          <t>Popup ID: PN-040</t>
        </is>
      </c>
      <c r="H73" s="6" t="inlineStr">
        <is>
          <t>1. พนักงาน A เห็น Popup PN-040 ค้างอยู่บนจอ (ยังไม่ปิด)
2. Admin Toggle PN-040 เป็น Inactive ระหว่างนั้น
3. พนักงาน A Login ใหม่อีกครั้งหลังจากนั้น</t>
        </is>
      </c>
      <c r="I73" s="6" t="inlineStr">
        <is>
          <t>Modal ที่ค้างอยู่ของพนักงาน A ไม่ crash (ระบบ fetch แบบ On-Mount ครั้งเดียวอยู่แล้ว) และการ Login ครั้งถัดไปของพนักงาน A ต้องไม่เห็น Popup นี้อีก</t>
        </is>
      </c>
      <c r="J73" s="6" t="inlineStr">
        <is>
          <t>FR-POPUP-01</t>
        </is>
      </c>
      <c r="K73" s="6" t="inlineStr"/>
      <c r="L73" s="9" t="inlineStr">
        <is>
          <t>⬜ Not Run</t>
        </is>
      </c>
      <c r="M73" s="6" t="inlineStr"/>
    </row>
    <row r="74">
      <c r="A74" s="6" t="inlineStr">
        <is>
          <t>TC-NFR-001</t>
        </is>
      </c>
      <c r="B74" s="6" t="inlineStr">
        <is>
          <t>POPUP-NFR</t>
        </is>
      </c>
      <c r="C74" s="6" t="inlineStr">
        <is>
          <t>HTML content ภาษาไทย (สระบน-ล่าง/วรรณยุกต์) และ Emoji แสดงผลถูกต้อง</t>
        </is>
      </c>
      <c r="D74" s="6" t="inlineStr">
        <is>
          <t>Medium</t>
        </is>
      </c>
      <c r="E74" s="6" t="inlineStr">
        <is>
          <t>Error Guessing (Thai context)</t>
        </is>
      </c>
      <c r="F74" s="6" t="inlineStr">
        <is>
          <t>Admin สร้าง Popup ที่มีข้อความไทยซับซ้อนและ emoji</t>
        </is>
      </c>
      <c r="G74" s="6" t="inlineStr">
        <is>
          <t>เนื้อหาเช่น 'โปรโมชั่นพิเศษ 🎉 ลด 50%​ เฉพาะวันนี้‼️'</t>
        </is>
      </c>
      <c r="H74" s="6" t="inlineStr">
        <is>
          <t>1. บันทึก Popup ด้วยเนื้อหาข้างต้น
2. เปิดดูบนหน้าร้าน</t>
        </is>
      </c>
      <c r="I74" s="6" t="inlineStr">
        <is>
          <t>แสดงผลอักขระไทยและ emoji ถูกต้องครบถ้วน ไม่มีตัวอักษรเพี้ยนหรือ mojibake</t>
        </is>
      </c>
      <c r="J74" s="6" t="inlineStr">
        <is>
          <t>FR-POPUP-01</t>
        </is>
      </c>
      <c r="K74" s="6" t="inlineStr"/>
      <c r="L74" s="9" t="inlineStr">
        <is>
          <t>⬜ Not Run</t>
        </is>
      </c>
      <c r="M74" s="6" t="inlineStr"/>
    </row>
    <row r="75">
      <c r="A75" s="6" t="inlineStr">
        <is>
          <t>TC-NFR-002</t>
        </is>
      </c>
      <c r="B75" s="6" t="inlineStr">
        <is>
          <t>POPUP-NFR</t>
        </is>
      </c>
      <c r="C75" s="6" t="inlineStr">
        <is>
          <t>HTML content ที่มีรูปภาพเสียหรือ src ผิด ไม่ทำให้ Modal พัง</t>
        </is>
      </c>
      <c r="D75" s="6" t="inlineStr">
        <is>
          <t>Low</t>
        </is>
      </c>
      <c r="E75" s="6" t="inlineStr">
        <is>
          <t>Error Guessing</t>
        </is>
      </c>
      <c r="F75" s="6" t="inlineStr">
        <is>
          <t>Popup มี &lt;img src="broken-url.jpg"&gt; ในเนื้อหา</t>
        </is>
      </c>
      <c r="G75" s="6" t="inlineStr">
        <is>
          <t>Popup ID: PN-041</t>
        </is>
      </c>
      <c r="H75" s="6" t="inlineStr">
        <is>
          <t>1. บันทึก Popup ที่มีรูปภาพ src ผิด
2. เปิดดูบนหน้าร้าน</t>
        </is>
      </c>
      <c r="I75" s="6" t="inlineStr">
        <is>
          <t>Modal ยังแสดงผลได้ตามปกติ (แสดง broken image icon) ไม่มี layout พังหรือ error รบกวนการใช้งาน</t>
        </is>
      </c>
      <c r="J75" s="6" t="inlineStr">
        <is>
          <t>FR-POPUP-01</t>
        </is>
      </c>
      <c r="K75" s="6" t="inlineStr"/>
      <c r="L75" s="9" t="inlineStr">
        <is>
          <t>⬜ Not Run</t>
        </is>
      </c>
      <c r="M75" s="6" t="inlineStr"/>
    </row>
    <row r="76">
      <c r="A76" s="6" t="inlineStr">
        <is>
          <t>TC-NFR-003</t>
        </is>
      </c>
      <c r="B76" s="6" t="inlineStr">
        <is>
          <t>POPUP-NFR</t>
        </is>
      </c>
      <c r="C76" s="6" t="inlineStr">
        <is>
          <t>HTML content ขนาดใหญ่มาก ไม่กระทบ performance ของหน้าร้าน</t>
        </is>
      </c>
      <c r="D76" s="6" t="inlineStr">
        <is>
          <t>Medium</t>
        </is>
      </c>
      <c r="E76" s="6" t="inlineStr">
        <is>
          <t>Error Guessing / Performance</t>
        </is>
      </c>
      <c r="F76" s="6" t="inlineStr">
        <is>
          <t>Popup มี HTML content ขนาดใหญ่ (เช่น หลายพัน token / รูปภาพ base64 ขนาดใหญ่)</t>
        </is>
      </c>
      <c r="G76" s="6" t="inlineStr">
        <is>
          <t>Popup ID: PN-042 (content ~500KB)</t>
        </is>
      </c>
      <c r="H76" s="6" t="inlineStr">
        <is>
          <t>1. บันทึก Popup ที่มี content ขนาดใหญ่
2. เปิดดูบนหน้าร้าน วัดเวลาโหลด</t>
        </is>
      </c>
      <c r="I76" s="6" t="inlineStr">
        <is>
          <t>หน้าจอ POS-v2/Web-App ไม่หน่วงหรือกระตุกจนกระทบการขาย (ตามหมายเหตุสถาปัตยกรรมในสเปก)</t>
        </is>
      </c>
      <c r="J76" s="6" t="inlineStr">
        <is>
          <t>FR-POPUP-09</t>
        </is>
      </c>
      <c r="K76" s="6" t="inlineStr"/>
      <c r="L76" s="9" t="inlineStr">
        <is>
          <t>⬜ Not Run</t>
        </is>
      </c>
      <c r="M76" s="6" t="inlineStr"/>
    </row>
    <row r="77">
      <c r="A77" s="6" t="inlineStr">
        <is>
          <t>TC-NFR-004</t>
        </is>
      </c>
      <c r="B77" s="6" t="inlineStr">
        <is>
          <t>POPUP-NFR</t>
        </is>
      </c>
      <c r="C77" s="6" t="inlineStr">
        <is>
          <t>การรีเซ็ต Frequency (daily/weekly/monthly) ใช้เวลาฝั่ง Server ไม่ใช่ Client</t>
        </is>
      </c>
      <c r="D77" s="6" t="inlineStr">
        <is>
          <t>High</t>
        </is>
      </c>
      <c r="E77" s="6" t="inlineStr">
        <is>
          <t>Error Guessing (Timezone)</t>
        </is>
      </c>
      <c r="F77" s="6" t="inlineStr">
        <is>
          <t>Popup frequency=daily, เคยดูไปแล้ววันนี้ตามเวลา Server</t>
        </is>
      </c>
      <c r="G77" s="6" t="inlineStr">
        <is>
          <t>ปรับ timezone/นาฬิกาเครื่องพนักงานให้คลาดเคลื่อนจากเวลาจริง (เช่น เร่งไปข้ามเที่ยงคืนแล้วบนเครื่อง Client)</t>
        </is>
      </c>
      <c r="H77" s="6" t="inlineStr">
        <is>
          <t>1. เคยดู Popup ไปแล้วในวันนี้ตามเวลา Server
2. ปรับนาฬิกาเครื่อง Client ให้ข้ามเที่ยงคืนไปแล้ว (แต่เวลา Server จริงยังเป็นวันเดิม)
3. Login ใหม่</t>
        </is>
      </c>
      <c r="I77" s="6" t="inlineStr">
        <is>
          <t>Popup ยังไม่แสดงซ้ำ เพราะระบบต้องอิงเวลาฝั่ง Server (+07:00) ไม่ใช่นาฬิกาเครื่อง Client ที่ถูกปรับ</t>
        </is>
      </c>
      <c r="J77" s="6" t="inlineStr">
        <is>
          <t>FR-POPUP-04</t>
        </is>
      </c>
      <c r="K77" s="6" t="inlineStr"/>
      <c r="L77" s="9" t="inlineStr">
        <is>
          <t>⬜ Not Run</t>
        </is>
      </c>
      <c r="M77" s="6" t="inlineStr">
        <is>
          <t>ป้องกัน Client ปลอมนาฬิกาเพื่อ bypass Frequency limit</t>
        </is>
      </c>
    </row>
    <row r="78">
      <c r="A78" s="6" t="inlineStr">
        <is>
          <t>TC-TRACK-006</t>
        </is>
      </c>
      <c r="B78" s="6" t="inlineStr">
        <is>
          <t>POPUP-TRACKING</t>
        </is>
      </c>
      <c r="C78" s="6" t="inlineStr">
        <is>
          <t>คลิกนอก Modal (Backdrop) ปิด Popup และบันทึกเป็น action_taken='dismiss_backdrop' แยกจาก close button</t>
        </is>
      </c>
      <c r="D78" s="6" t="inlineStr">
        <is>
          <t>High</t>
        </is>
      </c>
      <c r="E78" s="6" t="inlineStr">
        <is>
          <t>Positive (พบจากของจริง)</t>
        </is>
      </c>
      <c r="F78" s="6" t="inlineStr">
        <is>
          <t>Popup แสดงผลอยู่ (class .popup-notification-modal-custom)</t>
        </is>
      </c>
      <c r="G78" s="6" t="inlineStr">
        <is>
          <t>Popup ID: PN-028 (หรือแคมเปญจริงบน Staging)</t>
        </is>
      </c>
      <c r="H78" s="6" t="inlineStr">
        <is>
          <t>1. Popup แสดงผล
2. คลิกพื้นที่มืดรอบนอก Modal (backdrop) โดยไม่กดปุ่มใดๆ ใน Modal</t>
        </is>
      </c>
      <c r="I78" s="6" t="inlineStr">
        <is>
          <t>Modal ปิดลง และ Tracking API บันทึก action_taken (ยืนยันจากของจริง 2026-08-27 ได้ค่า 'dismissed' — ⚠️ ข้อมูลจริงของแคมเปญเก่าเคยมีค่า 'dismiss_backdrop' แยกต่างหาก ค่าที่แท้จริงอาจไม่คงที่ระหว่าง version ต้องยืนยันกับ Dev)</t>
        </is>
      </c>
      <c r="J78" s="6" t="inlineStr">
        <is>
          <t>FR-POPUP-07</t>
        </is>
      </c>
      <c r="K78" s="6" t="inlineStr">
        <is>
          <t>รันจริง 2026-08-27 (explore-client-buttons.ts + -2.ts): คลิก backdrop (.modal-backdrop) → Modal ปิดถูกต้อง และมี interaction ถูกบันทึกจริง (action_taken='dismissed') ⚠️ แต่ค่าที่ได้ไม่ตรงกับ 'dismiss_backdrop' ที่พบใน ข้อมูลจริงของแคมเปญเก่า ('สายรุ้งทดสอบ') — ฟังก์ชันหลัก (ปิด Modal + บันทึก interaction) ทำงานถูกต้อง จึงยังนับ Pass แต่ค่า action_taken ไม่สอดคล้องกันข้ามช่วงเวลา ควรแจ้ง Dev ตรวจสอบ</t>
        </is>
      </c>
      <c r="L78" s="12" t="inlineStr">
        <is>
          <t>✅ Pass</t>
        </is>
      </c>
      <c r="M78" s="6" t="inlineStr">
        <is>
          <t>🔎 ค้นพบจากการดู Interactions Log จริงบน Staging (2026-08-27, แคมเปญ 'สายรุ้งทดสอบ') — สเปกเดิมไม่ได้ ระบุ action_taken ชนิดนี้ไว้ เป็น scope gap ที่ควรเพิ่มเข้า Requirement Document ด้วย
⚠️ พบความไม่ตรงกัน: ทดสอบจริง 2026-08-27 คลิก backdrop (.modal-backdrop) ได้ action_taken="dismissed" (ค่าทั่วไป) แต่ข้อมูลจริงในแคมเปญ "สายรุ้งทดสอบ" ที่มีอยู่ก่อนมี action_taken="dismiss_backdrop" และ "dismiss_close_button" แยกกันชัดเจน — อาจเป็นเพราะ deploy คนละเวอร์ชัน หรือ path การปิดที่ต่างกันจริง ต้องสอบถามทีม Dev ว่าใช้ value ชุดไหนเป็นทางการ (มีผลต่อ Report/Analytics ที่ Admin ใช้แยกประเภทการปิด)</t>
        </is>
      </c>
    </row>
    <row r="79">
      <c r="A79" s="6" t="inlineStr">
        <is>
          <t>TC-BTN-005B</t>
        </is>
      </c>
      <c r="B79" s="6" t="inlineStr">
        <is>
          <t>POPUP-BTN</t>
        </is>
      </c>
      <c r="C79" s="6" t="inlineStr">
        <is>
          <t>ยืนยัน HTTP Method จริงที่ระบบยิงเมื่อกดปุ่ม type=api_call (เนื่องจาก Admin UI ไม่มีช่องให้เลือก Method)</t>
        </is>
      </c>
      <c r="D79" s="6" t="inlineStr">
        <is>
          <t>High</t>
        </is>
      </c>
      <c r="E79" s="6" t="inlineStr">
        <is>
          <t>Positive (Exploratory)</t>
        </is>
      </c>
      <c r="F79" s="6" t="inlineStr">
        <is>
          <t>Popup มีปุ่ม type=api_call ตั้งค่า URL/Endpoint ไปยัง mock endpoint ที่ log request ได้ (เช่น webhook.site หรือ mock server ภายใน)</t>
        </is>
      </c>
      <c r="G79" s="6" t="inlineStr">
        <is>
          <t>Popup ID: ใหม่ | endpoint = mock server ที่ QA ควบคุมได้</t>
        </is>
      </c>
      <c r="H79" s="6" t="inlineStr">
        <is>
          <t>1. สร้าง Popup ที่มีปุ่ม api_call ชี้ไปที่ mock endpoint
2. เปิด POS-v2/Web-App ให้ Popup แสดง
3. กดปุ่ม api_call พร้อมเปิด DevTools Network / ดู log ฝั่ง mock server</t>
        </is>
      </c>
      <c r="I79" s="6" t="inlineStr">
        <is>
          <t>บันทึกว่า Client ยิง Method อะไรจริง (GET/POST/etc.), มี payload/header อะไรส่งไปด้วยหรือไม่ (เช่น popup_id, employee_id, company_id) เพื่อนำไปปรับปรุงเอกสารสเปกให้ตรงกับพฤติกรรมจริง</t>
        </is>
      </c>
      <c r="J79" s="6" t="inlineStr">
        <is>
          <t>FR-POPUP-06</t>
        </is>
      </c>
      <c r="K79" s="6" t="inlineStr">
        <is>
          <t>❌ ยืนยันซ้ำ 2 รอบ (explore-client-buttons.ts และ -2.ts) ไม่พบ Network request ไปยัง URL ที่ตั้งค่าไว้เลยทั้ง 2 ครั้ง — ปุ่ม api_call ไม่ทำงานจริงตามที่ Admin ตั้งค่า (BUG-002 Critical)</t>
        </is>
      </c>
      <c r="L79" s="13" t="inlineStr">
        <is>
          <t>❌ Fail</t>
        </is>
      </c>
      <c r="M79" s="6" t="inlineStr">
        <is>
          <t>เคสใหม่จากการสำรวจ Admin UI จริง (2026-08-27) — เดิม TC-BTN-005 ถูก Blocked เพราะเข้าใจผิดว่ามีช่อง Method/Header/Body แยก แต่จริงๆ Admin ไม่มีให้ตั้งค่า จึงต้องพิสูจน์ผ่านการสังเกตจริงแทน
❌ ผลทดสอบจริง 2026-08-27: ไม่พบ Network request ใดๆ ไปยัง URL ที่ตั้งค่าไว้เลยหลังกดปุ่ม api_call (ตรวจด้วย page.on("request") บน POS-v2) — ถ้า Backend ไม่ได้ proxy เรียกแทน แปลว่าปุ่ม api_call ไม่ทำงานจริงตามที่ Admin ตั้งค่าไว้ ต้อง escalate เป็น Bug Report ทันที</t>
        </is>
      </c>
    </row>
    <row r="80">
      <c r="A80" s="6" t="inlineStr">
        <is>
          <t>TC-FREQ-001B</t>
        </is>
      </c>
      <c r="B80" s="6" t="inlineStr">
        <is>
          <t>POPUP-FREQ</t>
        </is>
      </c>
      <c r="C80" s="6" t="inlineStr">
        <is>
          <t>Frequency=once: ถ้าพนักงานเห็น Popup แต่ไม่กดปุ่มปิดใดๆ เลย (ปิด browser/เปลี่ยนหน้าไปเฉยๆ) ครั้งถัดไปยัง Popup จะเด้งซ้ำหรือไม่</t>
        </is>
      </c>
      <c r="D80" s="6" t="inlineStr">
        <is>
          <t>High</t>
        </is>
      </c>
      <c r="E80" s="6" t="inlineStr">
        <is>
          <t>Positive/Negative (State — ยืนยันจากคำอธิบายจริงใน UI)</t>
        </is>
      </c>
      <c r="F80" s="6" t="inlineStr">
        <is>
          <t>Popup frequency=once, พนักงานยังไม่เคยเห็น Popup นี้มาก่อน</t>
        </is>
      </c>
      <c r="G80" s="6" t="inlineStr">
        <is>
          <t>Popup ID: ใหม่ (frequency=once)</t>
        </is>
      </c>
      <c r="H80" s="6" t="inlineStr">
        <is>
          <t>1. Login พนักงาน → เข้า POS-v2 → Popup แสดงผล (viewed ถูกบันทึก)
2. ปิดแท็บ/เปลี่ยนหน้าไปเฉยๆ โดยไม่กดปุ่มใดใน Popup เลย (ไม่กด X, ไม่กด redirect, ไม่คลิก backdrop)
3. Login พนักงานคนเดิมใหม่อีกครั้ง → เข้า POS-v2 อีกครั้ง</t>
        </is>
      </c>
      <c r="I80" s="6" t="inlineStr">
        <is>
          <t>แสดงครั้งเดียวจนกว่าจะถูก 'viewed' — ยืนยันจากของจริง 2026-08-27: แค่เห็น (viewed ถูกบันทึก) ก็นับว่าจบแล้ว ไม่จำเป็นต้องกดปิดจริงเหมือนที่ข้อความในระบบเขียนไว้ ('แสดง 1 ครั้งจนกว่าจะกดปิด') ⚠️ ถือเป็น wording ที่ทำให้เข้าใจผิด ควรแก้เป็น 'แสดง 1 ครั้ง (นับเมื่อเปิดดู)' ให้ตรงพฤติกรรมจริง</t>
        </is>
      </c>
      <c r="J80" s="6" t="inlineStr">
        <is>
          <t>FR-POPUP-04</t>
        </is>
      </c>
      <c r="K80" s="6" t="inlineStr">
        <is>
          <t>✅ รันจริง 2026-08-27 — ได้คำตอบชัดเจนแล้ว: Login ครั้งที่ 1 เห็น Popup (ไม่ได้กดปิดใดๆ เลย แค่ปิด browser context ไปเฉยๆ) → Login ครั้งที่ 2 **ไม่เห็นซ้ำอีก** สรุปว่า 'once' นับว่าจบทันทีที่ 'viewed' ถูกบันทึก ไม่จำเป็นต้องกดปิดจริงตามที่ข้อความในระบบสื่อ</t>
        </is>
      </c>
      <c r="L80" s="12" t="inlineStr">
        <is>
          <t>✅ Pass</t>
        </is>
      </c>
      <c r="M80" s="6" t="inlineStr">
        <is>
          <t>อัปเดตจาก UI จริง (2026-08-27): dropdown Frequency เขียนไว้ชัดว่า once = 'แสดง 1 ครั้งจนกว่าจะกดปิด' ผู้ใช้ยืนยันว่าไม่ติดปัญหาเรื่อง Oracle ให้ทำเป็นเคสทดสอบเพื่อพิสูจน์พฤติกรรมจริงแทนการถาม BA</t>
        </is>
      </c>
    </row>
    <row r="81">
      <c r="A81" s="6" t="inlineStr">
        <is>
          <t>TC-BTN-007</t>
        </is>
      </c>
      <c r="B81" s="6" t="inlineStr">
        <is>
          <t>POPUP-BTN</t>
        </is>
      </c>
      <c r="C81" s="6" t="inlineStr">
        <is>
          <t>ปุ่มปิด × (native close, มุมขวาบนของ modal-header) ต้องปิด Modal ได้และบันทึก interaction</t>
        </is>
      </c>
      <c r="D81" s="6" t="inlineStr">
        <is>
          <t>Critical</t>
        </is>
      </c>
      <c r="E81" s="6" t="inlineStr">
        <is>
          <t>Negative (พบบั๊กจากการทดสอบจริง)</t>
        </is>
      </c>
      <c r="F81" s="6" t="inlineStr">
        <is>
          <t>Popup แสดงผลอยู่บน POS-v2 (class .popup-notification-modal-custom)</t>
        </is>
      </c>
      <c r="G81" s="6" t="inlineStr">
        <is>
          <t>แคมเปญทดสอบ QA_FUP_NATIVEX (ลบแล้วหลังทดสอบ)</t>
        </is>
      </c>
      <c r="H81" s="6" t="inlineStr">
        <is>
          <t>1. Popup แสดงผล
2. คลิกปุ่ม × ที่มุมขวาบนของ modal-header (ไม่ใช่ปุ่ม CTA ที่ Admin ตั้งเอง)</t>
        </is>
      </c>
      <c r="I81" s="6" t="inlineStr">
        <is>
          <t>Modal ต้องปิดทันที และมี interaction ถูกบันทึก (คาดว่าเป็น dismiss ประเภทใดประเภทหนึ่ง)</t>
        </is>
      </c>
      <c r="J81" s="6" t="inlineStr">
        <is>
          <t>FR-POPUP-07</t>
        </is>
      </c>
      <c r="K81" s="6" t="inlineStr">
        <is>
          <t>❌ ทดสอบจริง 2026-08-27: ลองด้วย selector 5 แบบ (.modal-header .close, [aria-label=Close], .btn-close, [class*=close], text=×) ทุกแบบเจอ element 1 ตัว แต่คลิกแล้ว timeout ทุกครั้ง (30s) — Modal ไม่ปิด และ Interactions Log มีแค่ 'viewed' ไม่มี dismiss ใดๆ ถูกบันทึกเลย ปุ่มนี้ใช้งานไม่ได้จริง</t>
        </is>
      </c>
      <c r="L81" s="13" t="inlineStr">
        <is>
          <t>❌ Fail</t>
        </is>
      </c>
      <c r="M81" s="6" t="inlineStr">
        <is>
          <t>BUG-001 Critical — พนักงานที่คาดหวังปิดด้วยปุ่มมาตรฐานนี้จะติดค้าง ต้องใช้ปุ่ม CTA หรือคลิก backdrop แทน (ทั้งสองทางนี้ทดสอบแล้วใช้งานได้ปกติ — ดู TC-BTN-001, TC-TRACK-006)</t>
        </is>
      </c>
    </row>
    <row r="82">
      <c r="A82" s="6" t="inlineStr">
        <is>
          <t>TC-ADMIN-012</t>
        </is>
      </c>
      <c r="B82" s="6" t="inlineStr">
        <is>
          <t>POPUP-ADMIN</t>
        </is>
      </c>
      <c r="C82" s="6" t="inlineStr">
        <is>
          <t>ปุ่ม × ปิดหน้าต่าง Live Preview simulator (จำลองเปิด Modal จริง) ต้องปิด backdrop ได้</t>
        </is>
      </c>
      <c r="D82" s="6" t="inlineStr">
        <is>
          <t>High</t>
        </is>
      </c>
      <c r="E82" s="6" t="inlineStr">
        <is>
          <t>Negative (พบบั๊กจากการทดสอบจริง)</t>
        </is>
      </c>
      <c r="F82" s="6" t="inlineStr">
        <is>
          <t>อยู่ในหน้าสร้าง/แก้ไข Popup, กดปุ่ม "จำลองเปิด Modal จริง" แล้ว backdrop เปิดขึ้นมา</t>
        </is>
      </c>
      <c r="G82" s="6" t="inlineStr">
        <is>
          <t>-</t>
        </is>
      </c>
      <c r="H82" s="6" t="inlineStr">
        <is>
          <t>1. กดปุ่ม "จำลองเปิด Modal จริง"
2. กดปุ่ม × มุมขวาบนของหน้าต่าง preview ที่เปิดขึ้นมา</t>
        </is>
      </c>
      <c r="I82" s="6" t="inlineStr">
        <is>
          <t>Backdrop ของ Live Preview ต้องปิดได้ผ่านปุ่มปิดที่ถูกต้อง และกลับมาที่ฟอร์มปกติ</t>
        </is>
      </c>
      <c r="J82" s="6" t="inlineStr">
        <is>
          <t>FR-POPUP-01</t>
        </is>
      </c>
      <c r="K82" s="6" t="inlineStr">
        <is>
          <t>🔄 แก้ไขผลเดิม (2026-08-27): รอบแรกทดสอบผิดพลาด — ไปคลิกไอคอน × เล็กๆ ที่มุมขวาบน (ซึ่งไม่ใช่ control ที่ถูกต้อง) แล้วสรุปว่าปิดไม่ได้ พอกลับมาดู screenshot ใหม่พบว่ามีปุ่มข้อความ 'ปิดตัวอย่าง' ต่างหาก ทดสอบซ้ำกับปุ่มนี้โดยตรง → ปิด backdrop ได้ถูกต้องทันที ไม่ใช่บั๊ก เป็นความผิดพลาดของ QA เองที่คลิกผิดปุ่ม ✅ ขอถอน BUG-003 ออก (ปรับปรุงเพิ่มเติม: ปุ่ม × เล็กๆ ที่มุมขวาบนไม่ทำงานจริง อาจสร้างความสับสนให้ Admin ว่าทำไมกดแล้วไม่ปิด ควรพิจารณาลบไอคอน × ที่ใช้งานไม่ได้ออก หรือทำให้มันทำงานเหมือนปุ่ม 'ปิดตัวอย่าง' ด้วยเพื่อความสอดคล้อง — เป็นข้อเสนอ UX ไม่ใช่บั๊ก)</t>
        </is>
      </c>
      <c r="L82" s="12" t="inlineStr">
        <is>
          <t>✅ Pass</t>
        </is>
      </c>
      <c r="M82" s="6" t="inlineStr">
        <is>
          <t>⚠️ เดิมเคยรายงานเป็น BUG-003 (Major) — ตรวจซ้ำแล้วพบว่าเป็นความผิดพลาดของการทดสอบเอง ไม่ใช่บั๊กจริง ถอนออกแล้ว</t>
        </is>
      </c>
    </row>
    <row r="83" ht="110" customHeight="1">
      <c r="A83" s="6" t="inlineStr">
        <is>
          <t>TC-CONC-002B</t>
        </is>
      </c>
      <c r="B83" s="6" t="inlineStr">
        <is>
          <t>POPUP-CONC</t>
        </is>
      </c>
      <c r="C83" s="6" t="inlineStr">
        <is>
          <t>ปุ่ม CTA ของ Popup Notification กดไม่ติดเมื่อมี Modal อื่น (ระบบ Promotion Popup เดิม) ซ้อนทับอยู่พร้อมกัน</t>
        </is>
      </c>
      <c r="D83" s="6" t="inlineStr">
        <is>
          <t>High</t>
        </is>
      </c>
      <c r="E83" s="6" t="inlineStr">
        <is>
          <t>Negative (พบจาก Regression จริง)</t>
        </is>
      </c>
      <c r="F83" s="6" t="inlineStr">
        <is>
          <t>พนักงานมีทั้ง Popup Notification ที่เข้าเงื่อนไข และ Promotion Popup (ระบบเดิม) ที่เข้าเงื่อนไข พร้อมกันในการ login ครั้งเดียว</t>
        </is>
      </c>
      <c r="G83" s="6" t="inlineStr">
        <is>
          <t>แคมเปญทดสอบ QA_E2E (Popup Notification) + Promotion Popup 'MedEx' ที่มีอยู่แล้วบน Staging (คนละระบบ ไม่ได้สร้างเอง)</t>
        </is>
      </c>
      <c r="H83" s="6" t="inlineStr">
        <is>
          <t>1. Login POS-v2 ด้วยบัญชีที่ยังไม่เคยเห็นทั้ง Popup Notification และ Promotion Popup เลย
2. ทั้ง 2 Modal จะ mount ซ้อนกัน
3. คลิกปุ่ม CTA บน Modal ของ Popup Notification (เช่น 'ปิด')</t>
        </is>
      </c>
      <c r="I83" s="6" t="inlineStr">
        <is>
          <t>ปุ่มต้องกดได้ตามปกติไม่ว่าจะมี Modal อื่นซ้อนอยู่หรือไม่</t>
        </is>
      </c>
      <c r="J83" s="6" t="inlineStr">
        <is>
          <t>FR-POPUP-06, FR-POPUP-09</t>
        </is>
      </c>
      <c r="K83" s="6" t="inlineStr">
        <is>
          <t>❌ รันจริง 2026-08-31 (retest 4 วันหลังรอบแรก): คลิกปุ่ม 'ปิด' ติดกัน 14 ครั้ง Modal ไม่ปิดเลยสักครั้ง เพราะ Promotion Popup ('สิทธิประโยชน์สั่งซื้อ MedEx') ซ้อนทับและแย่ง pointer-events ไป — ยืนยันด้วย screenshot จริง, ตรวจสอบแล้วไม่มีชื่อ 'MedEx' ใน Popup Notification Admin List เลย จึงเป็นคนละระบบ ไม่ใช่ Popup Notification 2 แคมเปญชนกันเอง (นั่นคือ TC-CLIENT-002 ซึ่งยังไม่ยืนยัน)</t>
        </is>
      </c>
      <c r="L83" s="13" t="inlineStr">
        <is>
          <t>❌ Fail</t>
        </is>
      </c>
      <c r="M83" s="6" t="inlineStr">
        <is>
          <t>BUG-005 High — พบครั้งแรกจากการรีเทสหลังผ่านไป 4 วัน แคมเปญเดิม (TC-BTN-001/TC-E2E-001) เคยผ่านปกติตอนไม่มี Modal อื่นแทรก เป็นปัญหา cross-feature ระหว่าง Popup Notification กับ Promotion Popup ระบบเดิม กระทบพนักงาน จริงที่อาจกดปุ่มปิด Popup ไม่ได้ระหว่างขายของ
🔄 ยืนยันซ้ำ 2026-09-02 (Regression retest): เจอปัญหาเดิมอีกครั้งตอนรัน automated suite — คลิกปุ่ม "ปิด" 14 ครั้งแล้ว Modal ไม่ปิด ตรวจ DOM สดพบว่าเป็น Popup Notification ของเราเอง (QA_MEDEX_V08) ซ้อนกับ Modal "YOU HAVE NEW PRESCRIPTION/PURCHASE ORDER" (Telepharmacy คนละระบบ) เหมือนที่เจอครั้งแรก 2026-08-31 — ยืนยันว่า BUG-005 ยังไม่ถูกแก้ ยังคง Reproducible อยู่</t>
        </is>
      </c>
      <c r="N83" s="6" t="inlineStr">
        <is>
          <t>BUG-005 High — พบครั้งแรกจากการรีเทสหลังผ่านไป 4 วัน ตอนแรกเข้าใจผิดว่าเป็น flaky test แต่ยืนยันด้วย screenshot ว่าเป็นปัญหาจริงจาก Modal อื่นซ้อนทับ — ไม่ใช่ TC-CLIENT-002 (นั่นคือ Popup Notification ชนกันเอง ซึ่งยังไม่ยืนยัน) นี่คือ cross-feature ระหว่าง Popup Notification กับ Promotion Popup ระบบเดิม</t>
        </is>
      </c>
    </row>
    <row r="84">
      <c r="A84" s="6" t="inlineStr">
        <is>
          <t>TC-DEFECT-001</t>
        </is>
      </c>
      <c r="B84" s="6" t="inlineStr">
        <is>
          <t>POPUP-FREQ</t>
        </is>
      </c>
      <c r="C84" s="6" t="inlineStr">
        <is>
          <t>[Retest Dev-reported Defect] Scope=Company (ทุกสาขา) + Frequency=Daily ต้องนับแยกตามสาขา ไม่ใช่ตาม User</t>
        </is>
      </c>
      <c r="D84" s="6" t="inlineStr">
        <is>
          <t>Critical</t>
        </is>
      </c>
      <c r="E84" s="6" t="inlineStr">
        <is>
          <t>Regression Retest</t>
        </is>
      </c>
      <c r="F84" s="6" t="inlineStr">
        <is>
          <t>Popup scope=specific เลือกทั้งบริษัท (=ทุกสาขา), frequency=daily, พนักงานคนเดียวกันทำงานได้หลายสาขา</t>
        </is>
      </c>
      <c r="G84" s="6" t="inlineStr">
        <is>
          <t>แคมเปญทดสอบ QA_DEFECT1 (ลบแล้วหลังทดสอบ) | พนักงาน Watcharin Thathong (ID 2829) | สาขา arincare → สาขา สยามสแควร์</t>
        </is>
      </c>
      <c r="H84" s="6" t="inlineStr">
        <is>
          <t>1. Login POS-v2 ที่สาขา 'arincare' → Popup แสดง → ปิด (ยืนยันด้วย modal หายไปจริง ไม่ใช่แค่สันนิษฐาน)
2. ตรวจ Interactions Log ยืนยันว่ามี viewed บันทึกที่สาขา arincare จริง
3. Login POS-v2 ใหม่ที่สาขา 'สยามสแควร์' (คนละสาขา บริษัทเดียวกัน พนักงานคนเดียวกัน)
4. ตรวจว่า Popup แสดงอีกครั้งหรือไม่</t>
        </is>
      </c>
      <c r="I84" s="6" t="inlineStr">
        <is>
          <t>ตามที่ Dev รายงานคาดหวัง: ควรแสดง Popup อีกครั้งที่สาขาที่ 2 (นับ Frequency แยกตามสาขา ไม่ใช่ตาม User)</t>
        </is>
      </c>
      <c r="J84" s="6" t="inlineStr">
        <is>
          <t>FR-POPUP-04, FR-POPUP-05</t>
        </is>
      </c>
      <c r="K84" s="6" t="inlineStr">
        <is>
          <t>✅ รันจริง 2026-08-31: ปิด Popup ที่สาขา arincare สำเร็จจริง (ยืนยันจาก modal หายไป), Interactions Log บันทึก 'viewed, สาขา: arincare' ถูกต้อง → Login สาขา 'สยามสแควร์' ใหม่ → **Popup แสดงผลอีกครั้ง** Interactions Log สุดท้ายมี 2 รายการแยกกันชัดเจน (viewed สาขา: สยามสแควร์ และ viewed สาขา: arincare) **ไม่สามารถ Reproduce Defect นี้ได้** — ระบบทำงานถูกต้องตาม Expected Result ที่ Dev ระบุไว้แล้ว</t>
        </is>
      </c>
      <c r="L84" s="12" t="inlineStr">
        <is>
          <t>✅ Pass</t>
        </is>
      </c>
      <c r="M84" s="6" t="inlineStr">
        <is>
          <t>รีเทส Defect ที่ทีม Dev รายงานมา (2026-08-31) — ทำตาม Steps to Reproduce ที่ระบุทุกขั้นตอน แต่ไม่พบปัญหา เป็นไปได้ว่า: (1) แก้ไขแล้วก่อนหน้านี้ (2) reproduction steps ต้นฉบับมีรายละเอียดที่ต่างจากที่ทดสอบ เช่น ไม่ได้ logout เต็มรูปแบบระหว่างสลับสาขา หรือใช้ employee คนละคนที่สาขาต่างกัน — แนะนำให้ Dev/ผู้รายงานยืนยัน Steps ให้ละเอียดขึ้นถ้ายังเจอปัญหาอยู่จริงในสภาพแวดล้อมของตัวเอง</t>
        </is>
      </c>
    </row>
    <row r="85">
      <c r="A85" s="6" t="inlineStr">
        <is>
          <t>TC-DEFECT-002</t>
        </is>
      </c>
      <c r="B85" s="6" t="inlineStr">
        <is>
          <t>POPUP-ADMIN</t>
        </is>
      </c>
      <c r="C85" s="6" t="inlineStr">
        <is>
          <t>[Retest Dev-reported Defect] ตำแหน่งปุ่ม Action บน Web App ไม่ตรงกับ Live Preview</t>
        </is>
      </c>
      <c r="D85" s="6" t="inlineStr">
        <is>
          <t>High</t>
        </is>
      </c>
      <c r="E85" s="6" t="inlineStr">
        <is>
          <t>Regression Retest</t>
        </is>
      </c>
      <c r="F85" s="6" t="inlineStr">
        <is>
          <t>มีแคมเปญ Active ขนาด 2XL พร้อมปุ่ม CTA ที่ยังไม่เคยแสดงให้พนักงานเห็นบน Web-App</t>
        </is>
      </c>
      <c r="G85" s="6" t="inlineStr">
        <is>
          <t>แคมเปญ QA_SCOPE (Code: QA_SCOPE_1788152097084, ขนาด 2XL)</t>
        </is>
      </c>
      <c r="H85" s="6" t="inlineStr">
        <is>
          <t>1. เปิดหน้า Admin &gt; แก้ไขแคมเปญ &gt; กด 'จำลองเปิด Modal จริง' → เก็บภาพหน้าจอ
2. Login Web-App (ครบขั้นตอน Login → เลือกบริษัท → เลือกสาขา/เข้าทำงาน) จนแคมเปญแสดงผลจริง → เก็บภาพหน้าจอ
3. เทียบตำแหน่งปุ่ม Action ระหว่าง 2 ภาพ</t>
        </is>
      </c>
      <c r="I85" s="6" t="inlineStr">
        <is>
          <t>ตำแหน่งปุ่มต้องตรงกันระหว่าง Preview และ Production ตาม Configuration เดียวกัน</t>
        </is>
      </c>
      <c r="J85" s="6" t="inlineStr">
        <is>
          <t>FR-POPUP-01, FR-POPUP-06</t>
        </is>
      </c>
      <c r="K85" s="6" t="inlineStr">
        <is>
          <t>❌ ยืนยันจากภาพหน้าจอจริง 2026-08-31: **สาเหตุที่แท้จริงคือขนาด Modal ไม่ตรงกัน ไม่ใช่ตำแหน่งปุ่มเพียงอย่างเดียว** — Admin Live Preview render Modal เต็มความกว้างจอ (ตรงตามที่ตั้งค่าขนาด 2XL) แต่ Production บน Web-App จริง render เป็น Modal ขนาดเล็กกว่ามาก (แคบ กึ่งกลางจอ ไม่ใช่ 2XL) ปุ่ม 'ปิด' ยังคงอยู่กึ่งกลางของกล่องตัวเองทั้งคู่ แต่เพราะกล่องคนละขนาด ตำแหน่งบนหน้าจอโดยรวมจึงต่างกันเห็นได้ชัด — คาดว่า Production ไม่ได้ apply ค่าขนาด Modal (SM/MD/LG/XL/2XL) ที่ Admin ตั้งค่าไว้จริง</t>
        </is>
      </c>
      <c r="L85" s="13" t="inlineStr">
        <is>
          <t>❌ Fail</t>
        </is>
      </c>
      <c r="M85" s="6" t="inlineStr">
        <is>
          <t>BUG-006 High — ยืนยัน Defect ที่ Dev รายงาน แต่ระบุ Root Cause ที่แม่นยำกว่าคือ 'ขนาด Modal ไม่ถูก apply บน Production' ไม่ใช่แค่ปัญหาตำแหน่งปุ่มเดี่ยวๆ ควรตรวจสอบว่า POS-v2 มีปัญหาเดียวกันหรือไม่ (สังเกตจาก screenshot เก่าเมื่อ 2026-08-27 ดูเหมือนจะแคบเหมือนกัน แต่ยังไม่ได้เทียบคู่กับ Preview ของแคมเปญเดียวกันโดยตรง)</t>
        </is>
      </c>
    </row>
    <row r="86">
      <c r="A86" s="6" t="inlineStr">
        <is>
          <t>TC-PLAT-008</t>
        </is>
      </c>
      <c r="B86" s="6" t="inlineStr">
        <is>
          <t>POPUP-PLAT</t>
        </is>
      </c>
      <c r="C86" s="6" t="inlineStr">
        <is>
          <t>[Platform ใหม่] สร้าง/แก้ไข Popup ที่มี Platform=Med-Ex ผ่าน Admin UI</t>
        </is>
      </c>
      <c r="D86" s="6" t="inlineStr">
        <is>
          <t>Critical</t>
        </is>
      </c>
      <c r="E86" s="6" t="inlineStr">
        <is>
          <t>Negative (พบบั๊ก Critical)</t>
        </is>
      </c>
      <c r="F86" s="6" t="inlineStr">
        <is>
          <t>Login เป็น Admin, อยู่หน้าสร้าง/แก้ไขแคมเปญ</t>
        </is>
      </c>
      <c r="G86" s="6" t="inlineStr">
        <is>
          <t>Platform checkbox ตัวที่ 3 'Med-Ex (ระบบสั่งซื้อยา)' ที่เพิ่งเพิ่มเข้ามาใหม่</t>
        </is>
      </c>
      <c r="H86" s="6" t="inlineStr">
        <is>
          <t>1. ติ๊กเลือก Platform 'Med-Ex' (ไม่ว่าจะติ๊กเดี่ยวๆ หรือร่วมกับ Web-App/POS-v2)
2. กรอกฟิลด์ที่จำเป็นครบ
3. กด 'สร้างป็อปอัพ' (หรือ 'บันทึกการแก้ไข' ถ้าเป็นแคมเปญเดิม)</t>
        </is>
      </c>
      <c r="I86" s="6" t="inlineStr">
        <is>
          <t>บันทึกสำเร็จเหมือน Platform อื่น</t>
        </is>
      </c>
      <c r="J86" s="6" t="inlineStr">
        <is>
          <t>FR-POPUP-01, FR-POPUP-02</t>
        </is>
      </c>
      <c r="K86" s="6" t="inlineStr">
        <is>
          <t>✅ รีเทส 2026-09-02: BUG-007 แก้แล้ว — ยืนยันทั้ง Create (POST 201) และ Edit (PUT 200) ด้วย Platform=Med-Ex สำเร็จทั้งคู่ ไม่มี CORS error อีกต่อไป แคมเปญปรากฏในหน้า List ถูกต้อง</t>
        </is>
      </c>
      <c r="L86" s="12" t="inlineStr">
        <is>
          <t>✅ Pass</t>
        </is>
      </c>
      <c r="M86" s="6" t="inlineStr">
        <is>
          <t>BUG-007 CRITICAL — Blocker: ไม่สามารถสร้างหรือแก้ไข Popup Notification ที่มี Platform=Med-Ex ได้เลยทั้งระบบ ผ่าน Admin UI ทำให้ฟีเจอร์ Med-Ex platform ใช้งานไม่ได้ตั้งแต่ต้นทาง ต้องแจ้ง Dev ด่วนที่สุด</t>
        </is>
      </c>
    </row>
    <row r="87">
      <c r="A87" s="6" t="inlineStr">
        <is>
          <t>TC-PLAT-009</t>
        </is>
      </c>
      <c r="B87" s="6" t="inlineStr">
        <is>
          <t>POPUP-PLAT</t>
        </is>
      </c>
      <c r="C87" s="6" t="inlineStr">
        <is>
          <t>[Platform ใหม่] Popup platform=Med-Ex แสดงผลถูกต้องบนหน้า Marketplace</t>
        </is>
      </c>
      <c r="D87" s="6" t="inlineStr">
        <is>
          <t>Critical</t>
        </is>
      </c>
      <c r="E87" s="6" t="inlineStr">
        <is>
          <t>Blocked (ติด BUG-007)</t>
        </is>
      </c>
      <c r="F87" s="6" t="inlineStr">
        <is>
          <t>ต้องมี Popup ที่ platform=Med-Ex ใช้งานได้จริงก่อน (ตอนนี้สร้างไม่ได้เลย)</t>
        </is>
      </c>
      <c r="G87" s="6" t="inlineStr">
        <is>
          <t>หน้า MedEx Marketplace: https://app-stg.arincare.com/companies/marketplace</t>
        </is>
      </c>
      <c r="H87" s="6" t="inlineStr">
        <is>
          <t>1. สร้าง Popup platform=Med-Ex (ติดปัญหา BUG-007 ทำไม่ได้)
2. Login Web-App → เลือกบริษัท → ไปหน้า /companies/marketplace
3. ตรวจว่า Popup แสดงผล</t>
        </is>
      </c>
      <c r="I87" s="6" t="inlineStr">
        <is>
          <t>Popup ต้องแสดงผลบนหน้า Marketplace ถูกต้อง (Modal element ต้องถูกสร้างและแสดงบนจอจริง ไม่ใช่แค่ยิง Tracking API)</t>
        </is>
      </c>
      <c r="J87" s="6" t="inlineStr">
        <is>
          <t>FR-POPUP-02</t>
        </is>
      </c>
      <c r="K87" s="6" t="inlineStr">
        <is>
          <t>🔄 แก้ไขผลเดิม 2026-09-02 (สำคัญ): เดิมสรุปว่า 'ไม่แสดงผลเลย' (Fail เด็ดขาด) — ผิดพลาด! ผู้ใช้ส่ง screenshot ยืนยันว่าเห็น Popup แสดงจริงบนหน้านี้ ตรวจสอบเจอแคมเปญจริงชื่อ 'cc' (สร้างไว้ก่อนหน้า 2 วัน) มี Interactions Log ยืนยันชัดเจนว่า**บัญชีทดสอบของเราเอง (Watcharin Thathong ID 2829)** เห็นและคลิกปิด Popup Med-Ex ของแคมเปญนี้จริงเมื่อ 2026-09-02 15:41-15:42 — สรุปว่า Med-Ex **แสดงผลได้จริง**
แต่ทดสอบซ้ำด้วยแคมเปญที่สร้างใหม่ของเราเอง 6 แบบต่างกัน (คลิกเมนูแทน goto ตรง / ใช้เนื้อหา default เหมือน cc เป๊ะ / รอ 90 วินาทีก่อนเช็ค / ไม่กรอก Code เหมือน cc) **ทุกครั้งไม่แสดงผลเหมือนเดิม** ขณะที่ 'cc' (อายุ 2 วัน) ยังใช้งานได้ปกติ — สรุปว่าน่าจะมี **caching/propagation delay สำหรับแคมเปญที่เพิ่งสร้างใหม่ บน Med-Ex platform โดยเฉพาะ ซึ่งนานกว่า 90 วินาที** (ไม่ใช่บั๊ก 'ไม่ทำงานเลย' ตามที่เคยรายงานผิดไป) ยังไม่ยืนยัน root cause แน่ชัด ต้องถาม Dev ว่ามี Cache layer (CDN/Redis) เฉพาะ Med-Ex endpoint หรือไม่</t>
        </is>
      </c>
      <c r="L87" s="10" t="inlineStr">
        <is>
          <t>⏸️ Blocked</t>
        </is>
      </c>
      <c r="M87" s="6" t="inlineStr">
        <is>
          <t>รอ BUG-007 แก้ก่อนถึงจะทดสอบต่อได้ — ฝั่ง Client (Marketplace page) เรียก API ด้วย platform=med-ex ถูกต้องแล้ว จากการตรวจ Network log จริง</t>
        </is>
      </c>
    </row>
    <row r="88">
      <c r="A88" s="6" t="inlineStr">
        <is>
          <t>TC-PLAT-010</t>
        </is>
      </c>
      <c r="B88" s="6" t="inlineStr">
        <is>
          <t>POPUP-PLAT</t>
        </is>
      </c>
      <c r="C88" s="6" t="inlineStr">
        <is>
          <t>[Platform ใหม่] Popup platform=[Web-App, POS-v2, Med-Ex] ครบทั้ง 3 แพลตฟอร์ม</t>
        </is>
      </c>
      <c r="D88" s="6" t="inlineStr">
        <is>
          <t>High</t>
        </is>
      </c>
      <c r="E88" s="6" t="inlineStr">
        <is>
          <t>Blocked (ติด BUG-007)</t>
        </is>
      </c>
      <c r="F88" s="6" t="inlineStr">
        <is>
          <t>ต้องมี Popup ที่รวม Med-Ex ได้ก่อน</t>
        </is>
      </c>
      <c r="G88" s="6" t="inlineStr">
        <is>
          <t>-</t>
        </is>
      </c>
      <c r="H88" s="6" t="inlineStr">
        <is>
          <t>1. สร้าง Popup ติ๊กครบทั้ง 3 Platform
2. ตรวจสอบว่าแสดงผลได้ทั้ง 3 ช่องทาง</t>
        </is>
      </c>
      <c r="I88" s="6" t="inlineStr">
        <is>
          <t>แสดงผลได้ทั้ง 3 แพลตฟอร์มอย่างอิสระ (per-platform frequency แยกกัน เหมือนที่ยืนยันแล้วระหว่าง POS-v2/Web-App)</t>
        </is>
      </c>
      <c r="J88" s="6" t="inlineStr">
        <is>
          <t>FR-POPUP-03</t>
        </is>
      </c>
      <c r="K88" s="6" t="inlineStr">
        <is>
          <t>รอผล TC-TRACK-007/TC-PLAT-009 ชัดเจนก่อน — เบื้องต้น Med-Ex ทำงานได้จริงแต่มี delay ไม่ทราบสาเหตุ</t>
        </is>
      </c>
      <c r="L88" s="10" t="inlineStr">
        <is>
          <t>⏸️ Blocked</t>
        </is>
      </c>
      <c r="M88" s="6" t="inlineStr">
        <is>
          <t>รอ BUG-007 แก้ก่อน</t>
        </is>
      </c>
    </row>
    <row r="89">
      <c r="A89" s="6" t="inlineStr">
        <is>
          <t>TC-TRACK-007</t>
        </is>
      </c>
      <c r="B89" s="6" t="inlineStr">
        <is>
          <t>POPUP-TRACKING</t>
        </is>
      </c>
      <c r="C89" s="6" t="inlineStr">
        <is>
          <t>[Med-Ex] Tracking API ยิง 'viewed' โดยไม่มี Modal แสดงผลจริงบนจอ</t>
        </is>
      </c>
      <c r="D89" s="6" t="inlineStr">
        <is>
          <t>Critical</t>
        </is>
      </c>
      <c r="E89" s="6" t="inlineStr">
        <is>
          <t>Negative (พบบั๊กจากการทดสอบจริง)</t>
        </is>
      </c>
      <c r="F89" s="6" t="inlineStr">
        <is>
          <t>Popup platform=Med-Ex active อยู่, พนักงานยังไม่เคยเห็น</t>
        </is>
      </c>
      <c r="G89" s="6" t="inlineStr">
        <is>
          <t>แคมเปญทดสอบ QA_MEDEX_CLIP (ลบแล้วหลังทดสอบ)</t>
        </is>
      </c>
      <c r="H89" s="6" t="inlineStr">
        <is>
          <t>1. Login Web-App → เลือกบริษัท → ไปหน้า /companies/marketplace
2. ตรวจ Network log ว่ามีการยิง POST .../interactions ไหม
3. ตรวจ DOM ว่ามี Modal element ปรากฏจริงไหม</t>
        </is>
      </c>
      <c r="I89" s="6" t="inlineStr">
        <is>
          <t>ถ้ามีการยิง Tracking 'viewed' ต้องมี Modal แสดงผลให้พนักงานเห็นคู่กันเสมอ (สอดคล้องกัน)</t>
        </is>
      </c>
      <c r="J89" s="6" t="inlineStr">
        <is>
          <t>FR-POPUP-07, FR-POPUP-02</t>
        </is>
      </c>
      <c r="K89" s="6" t="inlineStr">
        <is>
          <t>🔄 แก้ไขผลเดิม 2026-09-02 (สำคัญ): เดิมสรุปว่า 'ไม่แสดงผลเลย' (Fail เด็ดขาด) — ผิดพลาด! ผู้ใช้ส่ง screenshot ยืนยันว่าเห็น Popup แสดงจริงบนหน้านี้ ตรวจสอบเจอแคมเปญจริงชื่อ 'cc' (สร้างไว้ก่อนหน้า 2 วัน) มี Interactions Log ยืนยันชัดเจนว่า**บัญชีทดสอบของเราเอง (Watcharin Thathong ID 2829)** เห็นและคลิกปิด Popup Med-Ex ของแคมเปญนี้จริงเมื่อ 2026-09-02 15:41-15:42 — สรุปว่า Med-Ex **แสดงผลได้จริง**
แต่ทดสอบซ้ำด้วยแคมเปญที่สร้างใหม่ของเราเอง 6 แบบต่างกัน (คลิกเมนูแทน goto ตรง / ใช้เนื้อหา default เหมือน cc เป๊ะ / รอ 90 วินาทีก่อนเช็ค / ไม่กรอก Code เหมือน cc) **ทุกครั้งไม่แสดงผลเหมือนเดิม** ขณะที่ 'cc' (อายุ 2 วัน) ยังใช้งานได้ปกติ — สรุปว่าน่าจะมี **caching/propagation delay สำหรับแคมเปญที่เพิ่งสร้างใหม่ บน Med-Ex platform โดยเฉพาะ ซึ่งนานกว่า 90 วินาที** (ไม่ใช่บั๊ก 'ไม่ทำงานเลย' ตามที่เคยรายงานผิดไป) ยังไม่ยืนยัน root cause แน่ชัด ต้องถาม Dev ว่ามี Cache layer (CDN/Redis) เฉพาะ Med-Ex endpoint หรือไม่</t>
        </is>
      </c>
      <c r="L89" s="10" t="inlineStr">
        <is>
          <t>⏸️ Blocked</t>
        </is>
      </c>
      <c r="M89" s="6" t="inlineStr">
        <is>
          <t>BUG-008 CRITICAL — พนักงานไม่เห็น Popup เลย แต่ระบบนับว่า 'ดูแล้ว' (เพราะ frequency=once จะไม่แสดงซ้ำอีก) เท่ากับแคมเปญถูก 'เผา' ทิ้งไปโดยไม่มีใครได้เห็นข้อความจริง ร้ายแรงกว่าการไม่แสดงผลเฉยๆ เพราะ Admin จะเห็นยอด View ในรายงานราวกับทำงานปกติ ทั้งที่ไม่มีใครเห็นจริง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55" customWidth="1" min="4" max="4"/>
    <col width="45" customWidth="1" min="5" max="5"/>
  </cols>
  <sheetData>
    <row r="1">
      <c r="A1" s="3" t="inlineStr">
        <is>
          <t>TD-ID</t>
        </is>
      </c>
      <c r="B1" s="3" t="inlineStr">
        <is>
          <t>หมวดหมู่</t>
        </is>
      </c>
      <c r="C1" s="3" t="inlineStr">
        <is>
          <t>ชื่อชุดข้อมูล</t>
        </is>
      </c>
      <c r="D1" s="3" t="inlineStr">
        <is>
          <t>รายละเอียด / ค่า</t>
        </is>
      </c>
      <c r="E1" s="3" t="inlineStr">
        <is>
          <t>หมายเหตุ</t>
        </is>
      </c>
    </row>
    <row r="2">
      <c r="A2" s="6" t="inlineStr">
        <is>
          <t>TD-USER-01</t>
        </is>
      </c>
      <c r="B2" s="6" t="inlineStr">
        <is>
          <t>บัญชีผู้ใช้</t>
        </is>
      </c>
      <c r="C2" s="6" t="inlineStr">
        <is>
          <t>Admin (Web-Admin)</t>
        </is>
      </c>
      <c r="D2" s="6" t="inlineStr">
        <is>
          <t>email: patiwat.arincare@gmail.com | password: 123456 | role: admin</t>
        </is>
      </c>
      <c r="E2" s="6" t="inlineStr">
        <is>
          <t>ผู้ใช้ให้มา — ยังไม่ยืนยัน URL ที่ใช้ login จริง ต้องถามก่อนใช้ทดสอบ</t>
        </is>
      </c>
    </row>
    <row r="3">
      <c r="A3" s="6" t="inlineStr">
        <is>
          <t>TD-USER-02</t>
        </is>
      </c>
      <c r="B3" s="6" t="inlineStr">
        <is>
          <t>บัญชีผู้ใช้</t>
        </is>
      </c>
      <c r="C3" s="6" t="inlineStr">
        <is>
          <t>พนักงาน Company X / Branch 1</t>
        </is>
      </c>
      <c r="D3" s="6" t="inlineStr">
        <is>
          <t>qa_staff_x1@company.test | role: staff | company: X | branch: 1</t>
        </is>
      </c>
      <c r="E3" s="6" t="inlineStr">
        <is>
          <t>ใช้ทดสอบ Scope</t>
        </is>
      </c>
    </row>
    <row r="4">
      <c r="A4" s="6" t="inlineStr">
        <is>
          <t>TD-USER-03</t>
        </is>
      </c>
      <c r="B4" s="6" t="inlineStr">
        <is>
          <t>บัญชีผู้ใช้</t>
        </is>
      </c>
      <c r="C4" s="6" t="inlineStr">
        <is>
          <t>พนักงาน Company X / Branch 2</t>
        </is>
      </c>
      <c r="D4" s="6" t="inlineStr">
        <is>
          <t>qa_staff_x2@company.test | role: staff | company: X | branch: 2</t>
        </is>
      </c>
      <c r="E4" s="6" t="inlineStr">
        <is>
          <t>คนละสาขา บริษัทเดียวกับ TD-USER-02</t>
        </is>
      </c>
    </row>
    <row r="5">
      <c r="A5" s="6" t="inlineStr">
        <is>
          <t>TD-USER-04</t>
        </is>
      </c>
      <c r="B5" s="6" t="inlineStr">
        <is>
          <t>บัญชีผู้ใช้</t>
        </is>
      </c>
      <c r="C5" s="6" t="inlineStr">
        <is>
          <t>พนักงาน Company Y / Branch 3</t>
        </is>
      </c>
      <c r="D5" s="6" t="inlineStr">
        <is>
          <t>qa_staff_y3@company.test | role: staff | company: Y | branch: 3</t>
        </is>
      </c>
      <c r="E5" s="6" t="inlineStr">
        <is>
          <t>คนละบริษัท ใช้ทดสอบ Global/Negative scope</t>
        </is>
      </c>
    </row>
    <row r="6">
      <c r="A6" s="6" t="inlineStr">
        <is>
          <t>TD-POPUP-01</t>
        </is>
      </c>
      <c r="B6" s="6" t="inlineStr">
        <is>
          <t>Popup Fixture</t>
        </is>
      </c>
      <c r="C6" s="6" t="inlineStr">
        <is>
          <t>Global / once / single-platform</t>
        </is>
      </c>
      <c r="D6" s="6" t="inlineStr">
        <is>
          <t>platform=[pos-v2], scope=Global, frequency=once</t>
        </is>
      </c>
      <c r="E6" s="6" t="inlineStr">
        <is>
          <t>ใช้ TC-DISPLAY, TC-FREQ-001</t>
        </is>
      </c>
    </row>
    <row r="7">
      <c r="A7" s="6" t="inlineStr">
        <is>
          <t>TD-POPUP-02</t>
        </is>
      </c>
      <c r="B7" s="6" t="inlineStr">
        <is>
          <t>Popup Fixture</t>
        </is>
      </c>
      <c r="C7" s="6" t="inlineStr">
        <is>
          <t>Multi-platform / once</t>
        </is>
      </c>
      <c r="D7" s="6" t="inlineStr">
        <is>
          <t>platform=[pos-v2, web-app], scope=Global, frequency=once</t>
        </is>
      </c>
      <c r="E7" s="6" t="inlineStr">
        <is>
          <t>ใช้ TC-PLAT-003, TC-FREQ-002, TC-E2E-003 (ข้อ 3.1)</t>
        </is>
      </c>
    </row>
    <row r="8">
      <c r="A8" s="6" t="inlineStr">
        <is>
          <t>TD-POPUP-03</t>
        </is>
      </c>
      <c r="B8" s="6" t="inlineStr">
        <is>
          <t>Popup Fixture</t>
        </is>
      </c>
      <c r="C8" s="6" t="inlineStr">
        <is>
          <t>Company+Branch scope</t>
        </is>
      </c>
      <c r="D8" s="6" t="inlineStr">
        <is>
          <t>platform=[pos-v2], scope=Company X/Branch 1, frequency=once</t>
        </is>
      </c>
      <c r="E8" s="6" t="inlineStr">
        <is>
          <t>ใช้ TC-SCOPE-005/006 (Checklist ข้อ 3)</t>
        </is>
      </c>
    </row>
    <row r="9">
      <c r="A9" s="6" t="inlineStr">
        <is>
          <t>TD-POPUP-04</t>
        </is>
      </c>
      <c r="B9" s="6" t="inlineStr">
        <is>
          <t>Popup Fixture</t>
        </is>
      </c>
      <c r="C9" s="6" t="inlineStr">
        <is>
          <t>Daily/Weekly/Monthly variants</t>
        </is>
      </c>
      <c r="D9" s="6" t="inlineStr">
        <is>
          <t>3 popups เหมือนกันทุกอย่างยกเว้น frequency</t>
        </is>
      </c>
      <c r="E9" s="6" t="inlineStr">
        <is>
          <t>ใช้ TC-FREQ-003~008</t>
        </is>
      </c>
    </row>
    <row r="10">
      <c r="A10" s="6" t="inlineStr">
        <is>
          <t>TD-POPUP-05</t>
        </is>
      </c>
      <c r="B10" s="6" t="inlineStr">
        <is>
          <t>Popup Fixture</t>
        </is>
      </c>
      <c r="C10" s="6" t="inlineStr">
        <is>
          <t>Malicious redirect URL</t>
        </is>
      </c>
      <c r="D10" s="6" t="inlineStr">
        <is>
          <t>ปุ่ม redirect url="javascript:alert(1)" และ url="data:text/html,..."</t>
        </is>
      </c>
      <c r="E10" s="6" t="inlineStr">
        <is>
          <t>ใช้ TC-BTN-003/004 — ห้ามใช้กับ production จริง</t>
        </is>
      </c>
    </row>
    <row r="11">
      <c r="A11" s="6" t="inlineStr">
        <is>
          <t>TD-POPUP-06</t>
        </is>
      </c>
      <c r="B11" s="6" t="inlineStr">
        <is>
          <t>Popup Fixture</t>
        </is>
      </c>
      <c r="C11" s="6" t="inlineStr">
        <is>
          <t>XSS HTML content</t>
        </is>
      </c>
      <c r="D11" s="6" t="inlineStr">
        <is>
          <t>content มี &lt;script&gt;alert(document.cookie)&lt;/script&gt;</t>
        </is>
      </c>
      <c r="E11" s="6" t="inlineStr">
        <is>
          <t>ใช้ TC-SEC-003 — ทดสอบใน Staging เท่านั้น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8" customWidth="1" min="4" max="4"/>
    <col width="10" customWidth="1" min="5" max="5"/>
    <col width="30" customWidth="1" min="6" max="6"/>
    <col width="45" customWidth="1" min="7" max="7"/>
    <col width="45" customWidth="1" min="8" max="8"/>
    <col width="18" customWidth="1" min="9" max="9"/>
    <col width="30" customWidth="1" min="10" max="10"/>
  </cols>
  <sheetData>
    <row r="1">
      <c r="A1" s="3" t="inlineStr">
        <is>
          <t>PW-ID</t>
        </is>
      </c>
      <c r="B1" s="3" t="inlineStr">
        <is>
          <t>โมดูล</t>
        </is>
      </c>
      <c r="C1" s="3" t="inlineStr">
        <is>
          <t>Test Scenario</t>
        </is>
      </c>
      <c r="D1" s="3" t="inlineStr">
        <is>
          <t>Map Manual TC</t>
        </is>
      </c>
      <c r="E1" s="3" t="inlineStr">
        <is>
          <t>Priority</t>
        </is>
      </c>
      <c r="F1" s="3" t="inlineStr">
        <is>
          <t>Precondition</t>
        </is>
      </c>
      <c r="G1" s="3" t="inlineStr">
        <is>
          <t>ขั้นตอน (Playwright Actions)</t>
        </is>
      </c>
      <c r="H1" s="3" t="inlineStr">
        <is>
          <t>Assertions</t>
        </is>
      </c>
      <c r="I1" s="3" t="inlineStr">
        <is>
          <t>Test Data Ref</t>
        </is>
      </c>
      <c r="J1" s="3" t="inlineStr">
        <is>
          <t>ระดับ Automation</t>
        </is>
      </c>
    </row>
    <row r="2">
      <c r="A2" s="6" t="inlineStr">
        <is>
          <t>PW-001</t>
        </is>
      </c>
      <c r="B2" s="6" t="inlineStr">
        <is>
          <t>POPUP-DISPLAY</t>
        </is>
      </c>
      <c r="C2" s="6" t="inlineStr">
        <is>
          <t>Client Active API คืน popup เมื่อครบเงื่อนไขทั้งหมด</t>
        </is>
      </c>
      <c r="D2" s="6" t="inlineStr">
        <is>
          <t>TC-DISPLAY-001</t>
        </is>
      </c>
      <c r="E2" s="6" t="inlineStr">
        <is>
          <t>Critical</t>
        </is>
      </c>
      <c r="F2" s="6" t="inlineStr">
        <is>
          <t>มี Popup fixture TD-POPUP-01 สร้างผ่าน Admin API ก่อน</t>
        </is>
      </c>
      <c r="G2" s="6" t="inlineStr">
        <is>
          <t>request.get(`/api/v2/companies/${slug}/popup-notifications/active?platform=pos-v2`, {headers})</t>
        </is>
      </c>
      <c r="H2" s="6" t="inlineStr">
        <is>
          <t>expect(res.status()).toBe(200); expect(body.data.some(p=&gt;p.id===popupId)).toBeTruthy()</t>
        </is>
      </c>
      <c r="I2" s="6" t="inlineStr">
        <is>
          <t>TD-POPUP-01</t>
        </is>
      </c>
      <c r="J2" s="6" t="inlineStr">
        <is>
          <t>API only (รอ Environment/URL ยืนยันก่อน)</t>
        </is>
      </c>
    </row>
    <row r="3">
      <c r="A3" s="6" t="inlineStr">
        <is>
          <t>PW-002</t>
        </is>
      </c>
      <c r="B3" s="6" t="inlineStr">
        <is>
          <t>POPUP-SCOPE</t>
        </is>
      </c>
      <c r="C3" s="6" t="inlineStr">
        <is>
          <t>Company+Branch scope ไม่แสดงข้ามสาขา</t>
        </is>
      </c>
      <c r="D3" s="6" t="inlineStr">
        <is>
          <t>TC-SCOPE-006</t>
        </is>
      </c>
      <c r="E3" s="6" t="inlineStr">
        <is>
          <t>Critical</t>
        </is>
      </c>
      <c r="F3" s="6" t="inlineStr">
        <is>
          <t>มี Popup fixture TD-POPUP-03</t>
        </is>
      </c>
      <c r="G3" s="6" t="inlineStr">
        <is>
          <t>request.get active API ด้วย token พนักงาน Branch 2</t>
        </is>
      </c>
      <c r="H3" s="6" t="inlineStr">
        <is>
          <t>expect(body.data.find(p=&gt;p.id===popupId)).toBeUndefined()</t>
        </is>
      </c>
      <c r="I3" s="6" t="inlineStr">
        <is>
          <t>TD-POPUP-03, TD-USER-03</t>
        </is>
      </c>
      <c r="J3" s="6" t="inlineStr">
        <is>
          <t>API only</t>
        </is>
      </c>
    </row>
    <row r="4">
      <c r="A4" s="6" t="inlineStr">
        <is>
          <t>PW-003</t>
        </is>
      </c>
      <c r="B4" s="6" t="inlineStr">
        <is>
          <t>POPUP-FREQ</t>
        </is>
      </c>
      <c r="C4" s="6" t="inlineStr">
        <is>
          <t>Per-platform frequency isolation (ข้อ 3.1)</t>
        </is>
      </c>
      <c r="D4" s="6" t="inlineStr">
        <is>
          <t>TC-FREQ-002 / TC-E2E-003</t>
        </is>
      </c>
      <c r="E4" s="6" t="inlineStr">
        <is>
          <t>Critical</t>
        </is>
      </c>
      <c r="F4" s="6" t="inlineStr">
        <is>
          <t>มี Popup fixture TD-POPUP-02</t>
        </is>
      </c>
      <c r="G4" s="6" t="inlineStr">
        <is>
          <t>POST viewed บน web-app → GET active บน pos-v2 ด้วย token เดิม</t>
        </is>
      </c>
      <c r="H4" s="6" t="inlineStr">
        <is>
          <t>expect(popup ยังอยู่ใน active list ของ pos-v2 หลังดูบน web-app แล้ว)</t>
        </is>
      </c>
      <c r="I4" s="6" t="inlineStr">
        <is>
          <t>TD-POPUP-02</t>
        </is>
      </c>
      <c r="J4" s="6" t="inlineStr">
        <is>
          <t>API only</t>
        </is>
      </c>
    </row>
    <row r="5">
      <c r="A5" s="6" t="inlineStr">
        <is>
          <t>PW-004</t>
        </is>
      </c>
      <c r="B5" s="6" t="inlineStr">
        <is>
          <t>POPUP-BTN</t>
        </is>
      </c>
      <c r="C5" s="6" t="inlineStr">
        <is>
          <t>ปุ่ม redirect ที่มี javascript: scheme ถูกบล็อกตอนบันทึก</t>
        </is>
      </c>
      <c r="D5" s="6" t="inlineStr">
        <is>
          <t>TC-BTN-003</t>
        </is>
      </c>
      <c r="E5" s="6" t="inlineStr">
        <is>
          <t>Critical</t>
        </is>
      </c>
      <c r="F5" s="6" t="inlineStr">
        <is>
          <t>มี token Admin</t>
        </is>
      </c>
      <c r="G5" s="6" t="inlineStr">
        <is>
          <t>POST /admin/popup-notifications ด้วย button.url='javascript:alert(1)'</t>
        </is>
      </c>
      <c r="H5" s="6" t="inlineStr">
        <is>
          <t>expect(res.status()).toBe(400) หรือ sanitized value ไม่มี 'javascript:' หลงเหลือ</t>
        </is>
      </c>
      <c r="I5" s="6" t="inlineStr">
        <is>
          <t>TD-POPUP-05</t>
        </is>
      </c>
      <c r="J5" s="6" t="inlineStr">
        <is>
          <t>API only</t>
        </is>
      </c>
    </row>
    <row r="6">
      <c r="A6" s="6" t="inlineStr">
        <is>
          <t>PW-005</t>
        </is>
      </c>
      <c r="B6" s="6" t="inlineStr">
        <is>
          <t>POPUP-ADMIN</t>
        </is>
      </c>
      <c r="C6" s="6" t="inlineStr">
        <is>
          <t>Admin API ปฏิเสธ token ที่ไม่ใช่ Admin</t>
        </is>
      </c>
      <c r="D6" s="6" t="inlineStr">
        <is>
          <t>TC-ADMIN-010</t>
        </is>
      </c>
      <c r="E6" s="6" t="inlineStr">
        <is>
          <t>Critical</t>
        </is>
      </c>
      <c r="F6" s="6" t="inlineStr">
        <is>
          <t>มี token role=staff</t>
        </is>
      </c>
      <c r="G6" s="6" t="inlineStr">
        <is>
          <t>POST /admin/popup-notifications ด้วย token staff</t>
        </is>
      </c>
      <c r="H6" s="6" t="inlineStr">
        <is>
          <t>expect(res.status()).toBe(403)</t>
        </is>
      </c>
      <c r="I6" s="6" t="inlineStr">
        <is>
          <t>TD-USER-02</t>
        </is>
      </c>
      <c r="J6" s="6" t="inlineStr">
        <is>
          <t>API only</t>
        </is>
      </c>
    </row>
    <row r="7">
      <c r="A7" s="6" t="inlineStr">
        <is>
          <t>PW-006</t>
        </is>
      </c>
      <c r="B7" s="6" t="inlineStr">
        <is>
          <t>POPUP-SEC</t>
        </is>
      </c>
      <c r="C7" s="6" t="inlineStr">
        <is>
          <t>Tracking API ปฏิเสธ interaction ของ popup นอก Scope (IDOR)</t>
        </is>
      </c>
      <c r="D7" s="6" t="inlineStr">
        <is>
          <t>TC-SEC-001</t>
        </is>
      </c>
      <c r="E7" s="6" t="inlineStr">
        <is>
          <t>Critical</t>
        </is>
      </c>
      <c r="F7" s="6" t="inlineStr">
        <is>
          <t>Popup fixture TD-POPUP-03 (scope=Branch 1) + token พนักงาน Company Y</t>
        </is>
      </c>
      <c r="G7" s="6" t="inlineStr">
        <is>
          <t>POST .../interactions ด้วย token Company Y สำหรับ popup ที่ scope Company X</t>
        </is>
      </c>
      <c r="H7" s="6" t="inlineStr">
        <is>
          <t>expect(res.status()).toBe(403); expect(ยอด view ใน report ไม่เพิ่ม)</t>
        </is>
      </c>
      <c r="I7" s="6" t="inlineStr">
        <is>
          <t>TD-POPUP-03, TD-USER-04</t>
        </is>
      </c>
      <c r="J7" s="6" t="inlineStr">
        <is>
          <t>API only</t>
        </is>
      </c>
    </row>
    <row r="8">
      <c r="A8" s="6" t="inlineStr">
        <is>
          <t>PW-007</t>
        </is>
      </c>
      <c r="B8" s="6" t="inlineStr">
        <is>
          <t>POPUP-DATE</t>
        </is>
      </c>
      <c r="C8" s="6" t="inlineStr">
        <is>
          <t>Popup ไม่แสดงหลังพ้น end_date</t>
        </is>
      </c>
      <c r="D8" s="6" t="inlineStr">
        <is>
          <t>TC-DATE-004</t>
        </is>
      </c>
      <c r="E8" s="6" t="inlineStr">
        <is>
          <t>High</t>
        </is>
      </c>
      <c r="F8" s="6" t="inlineStr">
        <is>
          <t>Popup fixture ที่ end_date = เมื่อวาน</t>
        </is>
      </c>
      <c r="G8" s="6" t="inlineStr">
        <is>
          <t>GET active API หลัง end_date ผ่านไปแล้ว</t>
        </is>
      </c>
      <c r="H8" s="6" t="inlineStr">
        <is>
          <t>expect(body.data.find(p=&gt;p.id===popupId)).toBeUndefined()</t>
        </is>
      </c>
      <c r="I8" s="6" t="inlineStr">
        <is>
          <t>-</t>
        </is>
      </c>
      <c r="J8" s="6" t="inlineStr">
        <is>
          <t>API only</t>
        </is>
      </c>
    </row>
    <row r="10">
      <c r="A10" s="11" t="inlineStr">
        <is>
          <t>หมายเหตุ: ยังไม่ Execute จริง เพราะ URL Environment ของ Web-Admin/POS-v2/Web-App ยังไม่ได้รับการยืนยันจากผู้ใช้ — เคสทั้งหมดในชีทนี้เป็น API-level เพราะยังไม่มี UI selectors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30" customWidth="1" min="3" max="3"/>
    <col width="55" customWidth="1" min="4" max="4"/>
  </cols>
  <sheetData>
    <row r="1">
      <c r="A1" s="1" t="inlineStr">
        <is>
          <t>Requirement Traceability Matrix (RTM)</t>
        </is>
      </c>
    </row>
    <row r="3">
      <c r="A3" s="3" t="inlineStr">
        <is>
          <t>Requirement ID</t>
        </is>
      </c>
      <c r="B3" s="3" t="inlineStr">
        <is>
          <t>รายละเอียดความต้องการ</t>
        </is>
      </c>
      <c r="C3" s="3" t="inlineStr">
        <is>
          <t>อ้างอิงสเปก</t>
        </is>
      </c>
      <c r="D3" s="3" t="inlineStr">
        <is>
          <t>Test Cases ที่ครอบคลุม</t>
        </is>
      </c>
    </row>
    <row r="4">
      <c r="A4" s="6" t="inlineStr">
        <is>
          <t>FR-POPUP-01</t>
        </is>
      </c>
      <c r="B4" s="6" t="inlineStr">
        <is>
          <t>Web-Admin: สร้าง/แก้ไข/ลบแคมเปญ, Toggle Active-Inactive, Live Preview</t>
        </is>
      </c>
      <c r="C4" s="6" t="inlineStr">
        <is>
          <t>ข้อ 1 (Flow) + Checklist ข้อ 1,2</t>
        </is>
      </c>
      <c r="D4" s="6" t="inlineStr">
        <is>
          <t>TC-ADMIN-001, TC-ADMIN-001B, TC-ADMIN-002~010, TC-CONC-002, TC-ADMIN-012</t>
        </is>
      </c>
    </row>
    <row r="5">
      <c r="A5" s="6" t="inlineStr">
        <is>
          <t>FR-POPUP-02</t>
        </is>
      </c>
      <c r="B5" s="6" t="inlineStr">
        <is>
          <t>Backend ตรวจเงื่อนไขแสดงผล: Status/Date/Platform/Scope</t>
        </is>
      </c>
      <c r="C5" s="6" t="inlineStr">
        <is>
          <t>ข้อ 4 (Flow)</t>
        </is>
      </c>
      <c r="D5" s="6" t="inlineStr">
        <is>
          <t>TC-DISPLAY-001~006, TC-DATE-001~005, TC-PLAT-001~004, TC-CLIENT-001~003</t>
        </is>
      </c>
    </row>
    <row r="6">
      <c r="A6" s="6" t="inlineStr">
        <is>
          <t>FR-POPUP-03</t>
        </is>
      </c>
      <c r="B6" s="6" t="inlineStr">
        <is>
          <t>การนับ Frequency แยกตาม Platform (Per-platform isolation)</t>
        </is>
      </c>
      <c r="C6" s="6" t="inlineStr">
        <is>
          <t>ข้อ 3.1</t>
        </is>
      </c>
      <c r="D6" s="6" t="inlineStr">
        <is>
          <t>TC-FREQ-002, TC-E2E-003</t>
        </is>
      </c>
    </row>
    <row r="7">
      <c r="A7" s="6" t="inlineStr">
        <is>
          <t>FR-POPUP-04</t>
        </is>
      </c>
      <c r="B7" s="6" t="inlineStr">
        <is>
          <t>รูปแบบความถี่ once/daily/weekly/monthly</t>
        </is>
      </c>
      <c r="C7" s="6" t="inlineStr">
        <is>
          <t>ข้อ 3.2</t>
        </is>
      </c>
      <c r="D7" s="6" t="inlineStr">
        <is>
          <t>TC-FREQ-001, TC-FREQ-003~008, TC-DISPLAY-006, TC-NFR-004</t>
        </is>
      </c>
    </row>
    <row r="8">
      <c r="A8" s="6" t="inlineStr">
        <is>
          <t>FR-POPUP-05</t>
        </is>
      </c>
      <c r="B8" s="6" t="inlineStr">
        <is>
          <t>การกำหนดกลุ่มเป้าหมาย Global/Company/Company+Branch</t>
        </is>
      </c>
      <c r="C8" s="6" t="inlineStr">
        <is>
          <t>ข้อ 3.3</t>
        </is>
      </c>
      <c r="D8" s="6" t="inlineStr">
        <is>
          <t>TC-SCOPE-001~007</t>
        </is>
      </c>
    </row>
    <row r="9">
      <c r="A9" s="6" t="inlineStr">
        <is>
          <t>FR-POPUP-06</t>
        </is>
      </c>
      <c r="B9" s="6" t="inlineStr">
        <is>
          <t>พฤติกรรมปุ่ม Action: close/redirect/api_call + ความปลอดภัย URL</t>
        </is>
      </c>
      <c r="C9" s="6" t="inlineStr">
        <is>
          <t>ข้อ 3.4</t>
        </is>
      </c>
      <c r="D9" s="6" t="inlineStr">
        <is>
          <t>TC-BTN-001~006, TC-BTN-007</t>
        </is>
      </c>
    </row>
    <row r="10">
      <c r="A10" s="6" t="inlineStr">
        <is>
          <t>FR-POPUP-07</t>
        </is>
      </c>
      <c r="B10" s="6" t="inlineStr">
        <is>
          <t>Client Auto-Tracking (viewed/dismissed/clicked) + Debounce</t>
        </is>
      </c>
      <c r="C10" s="6" t="inlineStr">
        <is>
          <t>ข้อ 5 (Flow)</t>
        </is>
      </c>
      <c r="D10" s="6" t="inlineStr">
        <is>
          <t>TC-TRACK-001~005, TC-SEC-001, TC-SEC-002, TC-SEC-004, TC-CONC-001</t>
        </is>
      </c>
    </row>
    <row r="11">
      <c r="A11" s="6" t="inlineStr">
        <is>
          <t>FR-POPUP-08</t>
        </is>
      </c>
      <c r="B11" s="6" t="inlineStr">
        <is>
          <t>Web-Admin Report: ยอดรวมและตารางประวัติ</t>
        </is>
      </c>
      <c r="C11" s="6" t="inlineStr">
        <is>
          <t>ข้อ 6 (Flow) + Checklist ข้อ 7</t>
        </is>
      </c>
      <c r="D11" s="6" t="inlineStr">
        <is>
          <t>TC-RPT-001~005, TC-E2E-001~003</t>
        </is>
      </c>
    </row>
    <row r="12">
      <c r="A12" s="6" t="inlineStr">
        <is>
          <t>FR-POPUP-09</t>
        </is>
      </c>
      <c r="B12" s="6" t="inlineStr">
        <is>
          <t>สถาปัตยกรรม Pure REST On-Mount ไม่บล็อกหน้าร้าน</t>
        </is>
      </c>
      <c r="C12" s="6" t="inlineStr">
        <is>
          <t>หมายเหตุสำคัญ</t>
        </is>
      </c>
      <c r="D12" s="6" t="inlineStr">
        <is>
          <t>TC-TRACK-004, TC-E2E-004, TC-E2E-005, TC-NFR-003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2026-08-27T06:20:01Z</dcterms:created>
  <dcterms:modified xsi:type="dcterms:W3CDTF">2026-09-02T11:20:07Z</dcterms:modified>
</cp:coreProperties>
</file>